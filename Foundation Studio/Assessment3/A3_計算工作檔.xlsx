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KennyCode\UTS_workspace\Foundation Studio\Assessment3\"/>
    </mc:Choice>
  </mc:AlternateContent>
  <xr:revisionPtr revIDLastSave="0" documentId="13_ncr:1_{2F47243F-291E-4150-98A1-56BE3E99B839}" xr6:coauthVersionLast="47" xr6:coauthVersionMax="47" xr10:uidLastSave="{00000000-0000-0000-0000-000000000000}"/>
  <bookViews>
    <workbookView xWindow="-103" yWindow="-103" windowWidth="33120" windowHeight="20057" xr2:uid="{00000000-000D-0000-FFFF-FFFF00000000}"/>
  </bookViews>
  <sheets>
    <sheet name="說明" sheetId="1" r:id="rId1"/>
    <sheet name="1_覆蓋率" sheetId="2" r:id="rId2"/>
    <sheet name="2_年齡結構" sheetId="3" r:id="rId3"/>
    <sheet name="3_市佔與利潤率" sheetId="4" r:id="rId4"/>
    <sheet name="4_股價" sheetId="5" r:id="rId5"/>
    <sheet name="5_獲利UOP" sheetId="6" r:id="rId6"/>
    <sheet name="6_DiD" sheetId="7" r:id="rId7"/>
    <sheet name="7_季節性回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9" i="8" l="1"/>
  <c r="F69" i="8"/>
  <c r="E69" i="8"/>
  <c r="D69" i="8"/>
  <c r="G68" i="8"/>
  <c r="F68" i="8"/>
  <c r="E68" i="8"/>
  <c r="D68" i="8"/>
  <c r="G67" i="8"/>
  <c r="F67" i="8"/>
  <c r="E67" i="8"/>
  <c r="J6" i="8" s="1"/>
  <c r="D67" i="8"/>
  <c r="G66" i="8"/>
  <c r="F66" i="8"/>
  <c r="E66" i="8"/>
  <c r="D66" i="8"/>
  <c r="G65" i="8"/>
  <c r="F65" i="8"/>
  <c r="E65" i="8"/>
  <c r="D65" i="8"/>
  <c r="G64" i="8"/>
  <c r="F64" i="8"/>
  <c r="E64" i="8"/>
  <c r="D64" i="8"/>
  <c r="G63" i="8"/>
  <c r="F63" i="8"/>
  <c r="E63" i="8"/>
  <c r="D63" i="8"/>
  <c r="G62" i="8"/>
  <c r="F62" i="8"/>
  <c r="E62" i="8"/>
  <c r="D62" i="8"/>
  <c r="G61" i="8"/>
  <c r="F61" i="8"/>
  <c r="E61" i="8"/>
  <c r="D61" i="8"/>
  <c r="G60" i="8"/>
  <c r="F60" i="8"/>
  <c r="E60" i="8"/>
  <c r="D60" i="8"/>
  <c r="G59" i="8"/>
  <c r="F59" i="8"/>
  <c r="E59" i="8"/>
  <c r="D59" i="8"/>
  <c r="G58" i="8"/>
  <c r="F58" i="8"/>
  <c r="E58" i="8"/>
  <c r="D58" i="8"/>
  <c r="G57" i="8"/>
  <c r="F57" i="8"/>
  <c r="E57" i="8"/>
  <c r="D57" i="8"/>
  <c r="G56" i="8"/>
  <c r="F56" i="8"/>
  <c r="E56" i="8"/>
  <c r="D56" i="8"/>
  <c r="G55" i="8"/>
  <c r="F55" i="8"/>
  <c r="E55" i="8"/>
  <c r="D55" i="8"/>
  <c r="G54" i="8"/>
  <c r="F54" i="8"/>
  <c r="E54" i="8"/>
  <c r="D54" i="8"/>
  <c r="G53" i="8"/>
  <c r="F53" i="8"/>
  <c r="E53" i="8"/>
  <c r="D53" i="8"/>
  <c r="G52" i="8"/>
  <c r="F52" i="8"/>
  <c r="E52" i="8"/>
  <c r="D52" i="8"/>
  <c r="G51" i="8"/>
  <c r="F51" i="8"/>
  <c r="E51" i="8"/>
  <c r="D51" i="8"/>
  <c r="G50" i="8"/>
  <c r="F50" i="8"/>
  <c r="E50" i="8"/>
  <c r="D50" i="8"/>
  <c r="G49" i="8"/>
  <c r="F49" i="8"/>
  <c r="E49" i="8"/>
  <c r="D49" i="8"/>
  <c r="G48" i="8"/>
  <c r="F48" i="8"/>
  <c r="E48" i="8"/>
  <c r="D48" i="8"/>
  <c r="G47" i="8"/>
  <c r="F47" i="8"/>
  <c r="E47" i="8"/>
  <c r="D47" i="8"/>
  <c r="G46" i="8"/>
  <c r="F46" i="8"/>
  <c r="E46" i="8"/>
  <c r="D46" i="8"/>
  <c r="G45" i="8"/>
  <c r="F45" i="8"/>
  <c r="E45" i="8"/>
  <c r="D45" i="8"/>
  <c r="G44" i="8"/>
  <c r="F44" i="8"/>
  <c r="E44" i="8"/>
  <c r="D44" i="8"/>
  <c r="G43" i="8"/>
  <c r="F43" i="8"/>
  <c r="E43" i="8"/>
  <c r="D43" i="8"/>
  <c r="G42" i="8"/>
  <c r="F42" i="8"/>
  <c r="E42" i="8"/>
  <c r="D42" i="8"/>
  <c r="G41" i="8"/>
  <c r="F41" i="8"/>
  <c r="E41" i="8"/>
  <c r="D41" i="8"/>
  <c r="G40" i="8"/>
  <c r="F40" i="8"/>
  <c r="E40" i="8"/>
  <c r="D40" i="8"/>
  <c r="G39" i="8"/>
  <c r="F39" i="8"/>
  <c r="E39" i="8"/>
  <c r="D39" i="8"/>
  <c r="G38" i="8"/>
  <c r="F38" i="8"/>
  <c r="E38" i="8"/>
  <c r="D38" i="8"/>
  <c r="G37" i="8"/>
  <c r="F37" i="8"/>
  <c r="E37" i="8"/>
  <c r="D37" i="8"/>
  <c r="G36" i="8"/>
  <c r="F36" i="8"/>
  <c r="E36" i="8"/>
  <c r="D36" i="8"/>
  <c r="G35" i="8"/>
  <c r="F35" i="8"/>
  <c r="E35" i="8"/>
  <c r="D35" i="8"/>
  <c r="G34" i="8"/>
  <c r="F34" i="8"/>
  <c r="E34" i="8"/>
  <c r="D34" i="8"/>
  <c r="G33" i="8"/>
  <c r="F33" i="8"/>
  <c r="E33" i="8"/>
  <c r="D33" i="8"/>
  <c r="G32" i="8"/>
  <c r="F32" i="8"/>
  <c r="E32" i="8"/>
  <c r="D32" i="8"/>
  <c r="G31" i="8"/>
  <c r="F31" i="8"/>
  <c r="E31" i="8"/>
  <c r="D31" i="8"/>
  <c r="G30" i="8"/>
  <c r="F30" i="8"/>
  <c r="E30" i="8"/>
  <c r="D30" i="8"/>
  <c r="G29" i="8"/>
  <c r="F29" i="8"/>
  <c r="E29" i="8"/>
  <c r="D29" i="8"/>
  <c r="G28" i="8"/>
  <c r="F28" i="8"/>
  <c r="E28" i="8"/>
  <c r="D28" i="8"/>
  <c r="G27" i="8"/>
  <c r="F27" i="8"/>
  <c r="E27" i="8"/>
  <c r="D27" i="8"/>
  <c r="G26" i="8"/>
  <c r="F26" i="8"/>
  <c r="E26" i="8"/>
  <c r="D26" i="8"/>
  <c r="G25" i="8"/>
  <c r="F25" i="8"/>
  <c r="E25" i="8"/>
  <c r="D25" i="8"/>
  <c r="G24" i="8"/>
  <c r="F24" i="8"/>
  <c r="E24" i="8"/>
  <c r="D24" i="8"/>
  <c r="G23" i="8"/>
  <c r="F23" i="8"/>
  <c r="E23" i="8"/>
  <c r="D23" i="8"/>
  <c r="G22" i="8"/>
  <c r="F22" i="8"/>
  <c r="E22" i="8"/>
  <c r="D22" i="8"/>
  <c r="G21" i="8"/>
  <c r="F21" i="8"/>
  <c r="E21" i="8"/>
  <c r="D21" i="8"/>
  <c r="G20" i="8"/>
  <c r="F20" i="8"/>
  <c r="E20" i="8"/>
  <c r="D20" i="8"/>
  <c r="G19" i="8"/>
  <c r="F19" i="8"/>
  <c r="E19" i="8"/>
  <c r="D19" i="8"/>
  <c r="G18" i="8"/>
  <c r="F18" i="8"/>
  <c r="E18" i="8"/>
  <c r="D18" i="8"/>
  <c r="G17" i="8"/>
  <c r="F17" i="8"/>
  <c r="E17" i="8"/>
  <c r="D17" i="8"/>
  <c r="G16" i="8"/>
  <c r="F16" i="8"/>
  <c r="E16" i="8"/>
  <c r="D16" i="8"/>
  <c r="G15" i="8"/>
  <c r="F15" i="8"/>
  <c r="E15" i="8"/>
  <c r="D15" i="8"/>
  <c r="G14" i="8"/>
  <c r="F14" i="8"/>
  <c r="E14" i="8"/>
  <c r="D14" i="8"/>
  <c r="G13" i="8"/>
  <c r="F13" i="8"/>
  <c r="E13" i="8"/>
  <c r="D13" i="8"/>
  <c r="G12" i="8"/>
  <c r="F12" i="8"/>
  <c r="E12" i="8"/>
  <c r="D12" i="8"/>
  <c r="G11" i="8"/>
  <c r="F11" i="8"/>
  <c r="E11" i="8"/>
  <c r="D11" i="8"/>
  <c r="G10" i="8"/>
  <c r="F10" i="8"/>
  <c r="E10" i="8"/>
  <c r="D10" i="8"/>
  <c r="G9" i="8"/>
  <c r="F9" i="8"/>
  <c r="E9" i="8"/>
  <c r="D9" i="8"/>
  <c r="G8" i="8"/>
  <c r="F8" i="8"/>
  <c r="E8" i="8"/>
  <c r="D8" i="8"/>
  <c r="G7" i="8"/>
  <c r="F7" i="8"/>
  <c r="E7" i="8"/>
  <c r="J11" i="8" s="1"/>
  <c r="D7" i="8"/>
  <c r="J5" i="8" s="1"/>
  <c r="G6" i="8"/>
  <c r="F6" i="8"/>
  <c r="E6" i="8"/>
  <c r="D6" i="8"/>
  <c r="J23" i="8" s="1"/>
  <c r="G5" i="8"/>
  <c r="F5" i="8"/>
  <c r="E5" i="8"/>
  <c r="F20" i="7"/>
  <c r="E20" i="7"/>
  <c r="F19" i="7"/>
  <c r="E19" i="7"/>
  <c r="F18" i="7"/>
  <c r="B26" i="7" s="1"/>
  <c r="B28" i="7" s="1"/>
  <c r="E18" i="7"/>
  <c r="B24" i="7" s="1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B25" i="7" s="1"/>
  <c r="E9" i="7"/>
  <c r="B23" i="7" s="1"/>
  <c r="F8" i="7"/>
  <c r="E8" i="7"/>
  <c r="F7" i="7"/>
  <c r="E7" i="7"/>
  <c r="F6" i="7"/>
  <c r="B33" i="7" s="1"/>
  <c r="E6" i="7"/>
  <c r="B32" i="7" s="1"/>
  <c r="F5" i="7"/>
  <c r="E5" i="7"/>
  <c r="D9" i="6"/>
  <c r="D8" i="6"/>
  <c r="D7" i="6"/>
  <c r="D6" i="6"/>
  <c r="B187" i="5"/>
  <c r="B186" i="5"/>
  <c r="E184" i="5"/>
  <c r="D184" i="5"/>
  <c r="E183" i="5"/>
  <c r="D183" i="5"/>
  <c r="E182" i="5"/>
  <c r="D182" i="5"/>
  <c r="E181" i="5"/>
  <c r="D181" i="5"/>
  <c r="E180" i="5"/>
  <c r="D180" i="5"/>
  <c r="E179" i="5"/>
  <c r="D179" i="5"/>
  <c r="E178" i="5"/>
  <c r="D178" i="5"/>
  <c r="E177" i="5"/>
  <c r="D177" i="5"/>
  <c r="E176" i="5"/>
  <c r="D176" i="5"/>
  <c r="E175" i="5"/>
  <c r="D175" i="5"/>
  <c r="E174" i="5"/>
  <c r="D174" i="5"/>
  <c r="E173" i="5"/>
  <c r="D173" i="5"/>
  <c r="E172" i="5"/>
  <c r="D172" i="5"/>
  <c r="E171" i="5"/>
  <c r="D171" i="5"/>
  <c r="E170" i="5"/>
  <c r="D170" i="5"/>
  <c r="E169" i="5"/>
  <c r="D169" i="5"/>
  <c r="E168" i="5"/>
  <c r="D168" i="5"/>
  <c r="E167" i="5"/>
  <c r="D167" i="5"/>
  <c r="E166" i="5"/>
  <c r="D166" i="5"/>
  <c r="E165" i="5"/>
  <c r="D165" i="5"/>
  <c r="E164" i="5"/>
  <c r="D164" i="5"/>
  <c r="E163" i="5"/>
  <c r="D163" i="5"/>
  <c r="E162" i="5"/>
  <c r="D162" i="5"/>
  <c r="E161" i="5"/>
  <c r="D161" i="5"/>
  <c r="E160" i="5"/>
  <c r="D160" i="5"/>
  <c r="E159" i="5"/>
  <c r="D159" i="5"/>
  <c r="E158" i="5"/>
  <c r="D158" i="5"/>
  <c r="E157" i="5"/>
  <c r="D157" i="5"/>
  <c r="E156" i="5"/>
  <c r="D156" i="5"/>
  <c r="E155" i="5"/>
  <c r="D155" i="5"/>
  <c r="E154" i="5"/>
  <c r="D154" i="5"/>
  <c r="E153" i="5"/>
  <c r="D153" i="5"/>
  <c r="E152" i="5"/>
  <c r="D152" i="5"/>
  <c r="E151" i="5"/>
  <c r="D151" i="5"/>
  <c r="E150" i="5"/>
  <c r="D150" i="5"/>
  <c r="E149" i="5"/>
  <c r="D149" i="5"/>
  <c r="E148" i="5"/>
  <c r="D148" i="5"/>
  <c r="E147" i="5"/>
  <c r="D147" i="5"/>
  <c r="E146" i="5"/>
  <c r="D146" i="5"/>
  <c r="E145" i="5"/>
  <c r="D145" i="5"/>
  <c r="E144" i="5"/>
  <c r="D144" i="5"/>
  <c r="E143" i="5"/>
  <c r="D143" i="5"/>
  <c r="E142" i="5"/>
  <c r="D142" i="5"/>
  <c r="E141" i="5"/>
  <c r="D141" i="5"/>
  <c r="E140" i="5"/>
  <c r="D140" i="5"/>
  <c r="E139" i="5"/>
  <c r="D139" i="5"/>
  <c r="E138" i="5"/>
  <c r="D138" i="5"/>
  <c r="E137" i="5"/>
  <c r="D137" i="5"/>
  <c r="E136" i="5"/>
  <c r="D136" i="5"/>
  <c r="E135" i="5"/>
  <c r="D135" i="5"/>
  <c r="E134" i="5"/>
  <c r="D134" i="5"/>
  <c r="E133" i="5"/>
  <c r="D133" i="5"/>
  <c r="E132" i="5"/>
  <c r="D132" i="5"/>
  <c r="E131" i="5"/>
  <c r="D131" i="5"/>
  <c r="E130" i="5"/>
  <c r="D130" i="5"/>
  <c r="E129" i="5"/>
  <c r="D129" i="5"/>
  <c r="E128" i="5"/>
  <c r="D128" i="5"/>
  <c r="E127" i="5"/>
  <c r="D127" i="5"/>
  <c r="E126" i="5"/>
  <c r="D126" i="5"/>
  <c r="E125" i="5"/>
  <c r="D125" i="5"/>
  <c r="E124" i="5"/>
  <c r="D124" i="5"/>
  <c r="E123" i="5"/>
  <c r="D123" i="5"/>
  <c r="E122" i="5"/>
  <c r="D122" i="5"/>
  <c r="E121" i="5"/>
  <c r="D121" i="5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36" i="4"/>
  <c r="B36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B83" i="3"/>
  <c r="D80" i="3"/>
  <c r="B85" i="3" s="1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80" i="2"/>
  <c r="B86" i="2" s="1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B85" i="2" s="1"/>
  <c r="D5" i="2"/>
  <c r="B83" i="2" s="1"/>
  <c r="B34" i="7" l="1"/>
  <c r="B27" i="7"/>
  <c r="B29" i="7" s="1"/>
  <c r="D29" i="7" s="1"/>
  <c r="J7" i="8"/>
  <c r="J22" i="8"/>
  <c r="J12" i="8"/>
  <c r="J13" i="8"/>
  <c r="J8" i="8"/>
  <c r="B84" i="2"/>
  <c r="J9" i="8"/>
  <c r="J24" i="8"/>
  <c r="J10" i="8"/>
  <c r="J15" i="8"/>
  <c r="J14" i="8"/>
  <c r="B84" i="3"/>
  <c r="J19" i="8" l="1"/>
  <c r="J18" i="8"/>
  <c r="J17" i="8"/>
  <c r="J16" i="8"/>
</calcChain>
</file>

<file path=xl/sharedStrings.xml><?xml version="1.0" encoding="utf-8"?>
<sst xmlns="http://schemas.openxmlformats.org/spreadsheetml/2006/main" count="599" uniqueCount="425">
  <si>
    <t>評估三 計算工作檔 — NIB 案例</t>
  </si>
  <si>
    <t>資料來源</t>
  </si>
  <si>
    <t>　會員/年齡/人口</t>
  </si>
  <si>
    <t>APRA《Quarterly Private Health Insurance Statistics — Membership Trends》, Mar 2026</t>
  </si>
  <si>
    <t>　市佔/利潤率</t>
  </si>
  <si>
    <t>APRA《Annual Private Health Insurance Performance Statistics》, FY2024-25(Health insurance business)</t>
  </si>
  <si>
    <t>　股價</t>
  </si>
  <si>
    <t>Yahoo Finance(NHF 與 ^AXJO 月收盤價)</t>
  </si>
  <si>
    <t>　UOP/NPAT</t>
  </si>
  <si>
    <t>nib Holdings 年報(FY21 五年摘要、FY23/FY25 業績公告)</t>
  </si>
  <si>
    <t>分頁導覽</t>
  </si>
  <si>
    <t>1_覆蓋率</t>
  </si>
  <si>
    <t>住院險覆蓋率 = 投保總人數 ÷ 全國人口(對應報告圖一)</t>
  </si>
  <si>
    <t>2_年齡結構</t>
  </si>
  <si>
    <t>40 歲以下投保人占比(對應報告圖二:48.2% → 45.1%)</t>
  </si>
  <si>
    <t>3_市佔與利潤率</t>
  </si>
  <si>
    <t>各保險商保費市佔、淨利率、管理費用率(報告圖四、圖五)</t>
  </si>
  <si>
    <t>4_股價</t>
  </si>
  <si>
    <t>NHF vs ASX200 指數化(2011=100;報告圖三)</t>
  </si>
  <si>
    <t>5_獲利UOP</t>
  </si>
  <si>
    <t>nib 承保營運利潤 FY21-25(報告圖五)</t>
  </si>
  <si>
    <t>6_DiD</t>
  </si>
  <si>
    <t>差異中之差異 + 平行趨勢檢定(報告圖七、Part 3 核心)</t>
  </si>
  <si>
    <t>7_季節性回歸</t>
  </si>
  <si>
    <t>會員成長率對季別的多元回歸(R²、p 值;Part 3 鋪陳)</t>
  </si>
  <si>
    <t>口試對應(老師會問)</t>
  </si>
  <si>
    <t>資料怎麼找</t>
  </si>
  <si>
    <t>→ 看「1_覆蓋率」「2_年齡結構」:從 APRA 季度表 MembershipByAgeData / MembershipData 擷取,自己彙總。</t>
  </si>
  <si>
    <t>用 Excel 還是別的</t>
  </si>
  <si>
    <t>→ 就是這個檔。每格都是 Excel 公式(SUM、除法、SLOPE、LINEST),非貼上的死值。</t>
  </si>
  <si>
    <t>單回歸 vs 多元回歸</t>
  </si>
  <si>
    <t>→「7_季節性回歸」是多元回歸(成長率 ~ Q2+Q3+Q4 三個虛擬變數);「6_DiD」是含交互項的回歸。</t>
  </si>
  <si>
    <t>R² 和 p 值怎麼解讀</t>
  </si>
  <si>
    <t>→「7_季節性回歸」:R²≈0.09(幾乎不解釋)、各季 p&gt;0.05(不顯著)→ 沒有季節性,變動由政策/COVID 驅動。</t>
  </si>
  <si>
    <t>漲價對需求的因果</t>
  </si>
  <si>
    <t>→「6_DiD」:樸素 DiD −4.1%,但平行趨勢不成立(政策前 25-29 每季 −1.51% vs 30-34 −0.71%)→ 不可當因果。</t>
  </si>
  <si>
    <t>住院險覆蓋率(投保人數 ÷ 全國人口)</t>
  </si>
  <si>
    <t>來源:APRA Quarterly Membership Trends, Mar 2026。覆蓋率欄為公式。</t>
  </si>
  <si>
    <t>季別</t>
  </si>
  <si>
    <t>投保總人數(人)</t>
  </si>
  <si>
    <t>全國人口(人)</t>
  </si>
  <si>
    <t>覆蓋率 %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</si>
  <si>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</si>
  <si>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</si>
  <si>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</si>
  <si>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</si>
  <si>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</si>
  <si>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</si>
  <si>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</si>
  <si>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</si>
  <si>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</si>
  <si>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</si>
  <si>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</si>
  <si>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</si>
  <si>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</si>
  <si>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</si>
  <si>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</si>
  <si>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</si>
  <si>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</si>
  <si>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</si>
  <si>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</si>
  <si>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</si>
  <si>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</si>
  <si>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</si>
  <si>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</si>
  <si>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</si>
  <si>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</si>
  <si>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</si>
  <si>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</si>
  <si>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</si>
  <si>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</si>
  <si>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</si>
  <si>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</si>
  <si>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</si>
  <si>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</si>
  <si>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</si>
  <si>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</si>
  <si>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</si>
  <si>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</si>
  <si>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</si>
  <si>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</si>
  <si>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</si>
  <si>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</si>
  <si>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</si>
  <si>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</si>
  <si>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</si>
  <si>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</si>
  <si>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</si>
  <si>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</si>
  <si>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</si>
  <si>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</si>
  <si>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</si>
  <si>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</si>
  <si>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</si>
  <si>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</si>
  <si>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</si>
  <si>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</si>
  <si>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</si>
  <si>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</si>
  <si>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</si>
  <si>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</si>
  <si>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</si>
  <si>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</si>
  <si>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</si>
  <si>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</si>
  <si>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</si>
  <si>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</si>
  <si>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</si>
  <si>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</si>
  <si>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</si>
  <si>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</si>
  <si>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</si>
  <si>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</si>
  <si>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</si>
  <si>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</si>
  <si>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</si>
  <si>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</si>
  <si>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</si>
  <si>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重點</t>
  </si>
  <si>
    <t>最早(2007 Q2)</t>
  </si>
  <si>
    <t>最高峰</t>
  </si>
  <si>
    <t>最低谷</t>
  </si>
  <si>
    <t>最新(2026 Q1)</t>
  </si>
  <si>
    <t>40 歲以下投保人占比</t>
  </si>
  <si>
    <t>來源:APRA Membership Trends(MembershipByAgeData)。占比欄為公式。</t>
  </si>
  <si>
    <t>投保總人數</t>
  </si>
  <si>
    <t>40 歲以下人數</t>
  </si>
  <si>
    <t>&lt;40 占比 %</t>
  </si>
  <si>
    <t>最早 → 最新</t>
  </si>
  <si>
    <t>下降(百分點)</t>
  </si>
  <si>
    <t>各保險商:保費市佔 + 利潤率(FY2024-25)</t>
  </si>
  <si>
    <t>來源:APRA Annual PHI Performance, FY2024-25(Health insurance business)。市佔/利潤率/費用率為公式。</t>
  </si>
  <si>
    <t>保險商</t>
  </si>
  <si>
    <t>保費收入 $</t>
  </si>
  <si>
    <t>理賠 $</t>
  </si>
  <si>
    <t>其他費用 $</t>
  </si>
  <si>
    <t>稅後淨利 $</t>
  </si>
  <si>
    <t>市佔 %</t>
  </si>
  <si>
    <t>淨利率 %</t>
  </si>
  <si>
    <t>管理費用率 %</t>
  </si>
  <si>
    <t>Bupa</t>
  </si>
  <si>
    <t>Medibank</t>
  </si>
  <si>
    <t>HCF</t>
  </si>
  <si>
    <t>nib</t>
  </si>
  <si>
    <t>HBF</t>
  </si>
  <si>
    <t>Teachers Health</t>
  </si>
  <si>
    <t>Australian Unity</t>
  </si>
  <si>
    <t>Defence Health</t>
  </si>
  <si>
    <t>GMHBA</t>
  </si>
  <si>
    <t>CBHS</t>
  </si>
  <si>
    <t>Westfund Limited</t>
  </si>
  <si>
    <t>Police Health Limited</t>
  </si>
  <si>
    <t>Latrobe Health Services Limited</t>
  </si>
  <si>
    <t>St Luke's Medical and Hospital Benefits Association</t>
  </si>
  <si>
    <t>Queensland Teachers' Union Health Fund Limited</t>
  </si>
  <si>
    <t>Health Partners</t>
  </si>
  <si>
    <t>The Doctors' Health Fund Pty Ltd</t>
  </si>
  <si>
    <t>Health Insurance Fund of Australia Limited</t>
  </si>
  <si>
    <t>Peoplecare Health Limited</t>
  </si>
  <si>
    <t>Navy Health Ltd</t>
  </si>
  <si>
    <t>AIA Health Insurance Pty Ltd</t>
  </si>
  <si>
    <t>Queensland Country Health Fund Ltd</t>
  </si>
  <si>
    <t>Mildura District Hospital Fund Ltd</t>
  </si>
  <si>
    <t>Phoenix Health Fund Limited</t>
  </si>
  <si>
    <t>National Health Benefits Australia Pty Ltd</t>
  </si>
  <si>
    <t>Health Care Insurance Ltd</t>
  </si>
  <si>
    <t>ACA Health Benefits Fund Limited</t>
  </si>
  <si>
    <t>Reserve Bank Health Society Ltd</t>
  </si>
  <si>
    <t>Cessnock District Health Benefits Fund Limited</t>
  </si>
  <si>
    <t>CBHS Corporate Health Pty Ltd</t>
  </si>
  <si>
    <t>產業總保費 $</t>
  </si>
  <si>
    <t>保險商家數</t>
  </si>
  <si>
    <t>淨利率 = 1 −(理賠+其他費用)÷保費  |  市佔 = 該商保費 ÷ 全產業保費</t>
  </si>
  <si>
    <t>NHF(nib) vs ASX200 股價,指數化</t>
  </si>
  <si>
    <t>來源:Yahoo Finance 月收盤價。指數欄 = 當期 ÷ 首期 ×100(公式)。</t>
  </si>
  <si>
    <t>月份</t>
  </si>
  <si>
    <t>NHF 收盤</t>
  </si>
  <si>
    <t>ASX200 收盤</t>
  </si>
  <si>
    <t>NHF 指數</t>
  </si>
  <si>
    <t>ASX 指數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</si>
  <si>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</si>
  <si>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</si>
  <si>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</si>
  <si>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</si>
  <si>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</si>
  <si>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</si>
  <si>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</si>
  <si>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</si>
  <si>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</si>
  <si>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</si>
  <si>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</si>
  <si>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</si>
  <si>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</si>
  <si>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</si>
  <si>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</si>
  <si>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</si>
  <si>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</si>
  <si>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</si>
  <si>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</si>
  <si>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</si>
  <si>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</si>
  <si>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</si>
  <si>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</si>
  <si>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</si>
  <si>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</si>
  <si>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</si>
  <si>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</si>
  <si>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</si>
  <si>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</si>
  <si>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</si>
  <si>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</si>
  <si>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</si>
  <si>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</si>
  <si>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</si>
  <si>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</si>
  <si>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</si>
  <si>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</si>
  <si>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</si>
  <si>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</si>
  <si>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</si>
  <si>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</si>
  <si>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</si>
  <si>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</si>
  <si>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</si>
  <si>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</si>
  <si>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</si>
  <si>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</si>
  <si>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</si>
  <si>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</si>
  <si>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</si>
  <si>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</si>
  <si>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</si>
  <si>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</si>
  <si>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</si>
  <si>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</si>
  <si>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</si>
  <si>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</si>
  <si>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</si>
  <si>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</si>
  <si>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</si>
  <si>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</si>
  <si>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</si>
  <si>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</si>
  <si>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</si>
  <si>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</si>
  <si>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</si>
  <si>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</si>
  <si>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</si>
  <si>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</si>
  <si>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</si>
  <si>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</si>
  <si>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</si>
  <si>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</si>
  <si>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</si>
  <si>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</si>
  <si>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</si>
  <si>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</si>
  <si>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</si>
  <si>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</si>
  <si>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</si>
  <si>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</si>
  <si>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</si>
  <si>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</si>
  <si>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</si>
  <si>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</si>
  <si>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</si>
  <si>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</si>
  <si>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</si>
  <si>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</si>
  <si>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</si>
  <si>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</si>
  <si>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</si>
  <si>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</si>
  <si>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</si>
  <si>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</si>
  <si>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</si>
  <si>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</si>
  <si>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</si>
  <si>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</si>
  <si>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</si>
  <si>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</si>
  <si>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</si>
  <si>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</si>
  <si>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</si>
  <si>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</si>
  <si>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</si>
  <si>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</si>
  <si>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</si>
  <si>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</si>
  <si>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</si>
  <si>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</si>
  <si>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</si>
  <si>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</si>
  <si>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</si>
  <si>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</si>
  <si>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</si>
  <si>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</si>
  <si>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</si>
  <si>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</si>
  <si>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</si>
  <si>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</si>
  <si>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</si>
  <si>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</si>
  <si>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</si>
  <si>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</si>
  <si>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</si>
  <si>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</si>
  <si>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</si>
  <si>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</si>
  <si>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</si>
  <si>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</si>
  <si>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</si>
  <si>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</si>
  <si>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</si>
  <si>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</si>
  <si>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</si>
  <si>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</si>
  <si>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</si>
  <si>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</si>
  <si>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</si>
  <si>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</si>
  <si>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</si>
  <si>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</si>
  <si>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</si>
  <si>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</si>
  <si>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</si>
  <si>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</si>
  <si>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</si>
  <si>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</si>
  <si>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</si>
  <si>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</si>
  <si>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</si>
  <si>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</si>
  <si>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</si>
  <si>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</si>
  <si>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</si>
  <si>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</si>
  <si>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</si>
  <si>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</si>
  <si>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</si>
  <si>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</si>
  <si>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</si>
  <si>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</si>
  <si>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</si>
  <si>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</si>
  <si>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</si>
  <si>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</si>
  <si>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</si>
  <si>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</si>
  <si>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</si>
  <si>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</si>
  <si>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</si>
  <si>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</si>
  <si>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</si>
  <si>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</si>
  <si>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</si>
  <si>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</si>
  <si>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</si>
  <si>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</si>
  <si>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</si>
  <si>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最新 NHF 指數(倍)</t>
  </si>
  <si>
    <t>最新 ASX 指數(倍)</t>
  </si>
  <si>
    <t>nib 承保營運利潤(UOP)與稅後淨利(NPAT)</t>
  </si>
  <si>
    <t>來源:nib Holdings 年報。YoY 為公式。</t>
  </si>
  <si>
    <t>財年</t>
  </si>
  <si>
    <t>UOP A$m</t>
  </si>
  <si>
    <t>NPAT A$m</t>
  </si>
  <si>
    <t>UOP YoY %</t>
  </si>
  <si>
    <t>FY21</t>
  </si>
  <si>
    <t>FY22</t>
  </si>
  <si>
    <t>FY23</t>
  </si>
  <si>
    <t>FY24</t>
  </si>
  <si>
    <t>FY25</t>
  </si>
  <si>
    <t>FY23 見頂、FY24-25 受理賠通膨回落。FY22 NPAT 未列。</t>
  </si>
  <si>
    <t>差異中之差異(DiD)+ 平行趨勢檢定</t>
  </si>
  <si>
    <t>處理組 25-29(2019/4 起享年齡折扣)vs 對照組 30-34。來源:APRA Membership Trends。</t>
  </si>
  <si>
    <t>時間序</t>
  </si>
  <si>
    <t>處理 25-29</t>
  </si>
  <si>
    <t>對照 30-34</t>
  </si>
  <si>
    <t>ln(處理)</t>
  </si>
  <si>
    <t>ln(對照)</t>
  </si>
  <si>
    <t>期間</t>
  </si>
  <si>
    <t>pre</t>
  </si>
  <si>
    <t>post</t>
  </si>
  <si>
    <t>2×2 DiD(對 ln 投保人數取平均)</t>
  </si>
  <si>
    <t>處理組 pre 均值</t>
  </si>
  <si>
    <t>處理組 post 均值</t>
  </si>
  <si>
    <t>對照組 pre 均值</t>
  </si>
  <si>
    <t>對照組 post 均值</t>
  </si>
  <si>
    <t>Δln 處理(post-pre)</t>
  </si>
  <si>
    <t>Δln 對照(post-pre)</t>
  </si>
  <si>
    <t>DiD = Δ處理 − Δ對照</t>
  </si>
  <si>
    <t>≈ %</t>
  </si>
  <si>
    <t>平行趨勢檢定(政策前 2016Q1-2019Q1,ln 對時間序回歸的斜率)</t>
  </si>
  <si>
    <t>處理 25-29 每季成長 %</t>
  </si>
  <si>
    <t>對照 30-34 每季成長 %</t>
  </si>
  <si>
    <t>差距(百分點/季)</t>
  </si>
  <si>
    <t>差距大 → 平行趨勢不成立 → 上面的 DiD 不能解讀為因果。</t>
  </si>
  <si>
    <t>會員成長率的季節性:多元回歸(成長率 ~ Q2 + Q3 + Q4)</t>
  </si>
  <si>
    <t>來源:APRA Membership Trends 總投保人數。成長率/虛擬變數/回歸統計皆為公式。</t>
  </si>
  <si>
    <t>QoQ 成長 %</t>
  </si>
  <si>
    <t>Q2</t>
  </si>
  <si>
    <t>Q3</t>
  </si>
  <si>
    <t>Q4</t>
  </si>
  <si>
    <t>回歸輸出(LINEST)</t>
  </si>
  <si>
    <t>樣本數 n</t>
  </si>
  <si>
    <t>基準 = Q1 平均成長 %</t>
  </si>
  <si>
    <t>Q2 係數</t>
  </si>
  <si>
    <t>Q3 係數</t>
  </si>
  <si>
    <t>Q4 係數</t>
  </si>
  <si>
    <t>Q2 標準誤</t>
  </si>
  <si>
    <t>Q3 標準誤</t>
  </si>
  <si>
    <t>Q4 標準誤</t>
  </si>
  <si>
    <t>R²</t>
  </si>
  <si>
    <t>F 統計量</t>
  </si>
  <si>
    <t>殘差自由度 df</t>
  </si>
  <si>
    <t>Q2 p 值</t>
  </si>
  <si>
    <t>Q3 p 值</t>
  </si>
  <si>
    <t>Q4 p 值</t>
  </si>
  <si>
    <t>整體 F 檢定 p 值</t>
  </si>
  <si>
    <t>簡單線性趨勢線(對時間序)</t>
  </si>
  <si>
    <t>R²(趨勢線)</t>
  </si>
  <si>
    <t>成長率平均 %</t>
  </si>
  <si>
    <t>成長率標準差 %</t>
  </si>
  <si>
    <t>解讀:R²≈0.09,各季 p 值均 &gt; 0.05、整體 F 檢定也不顯著 → 在 5% 水準下沒有證據顯示成長率有季節性。趨勢線 R²≈0 → 也不是單向遞增/遞減。會員變動由政策與 COVID 等一次性事件驅動,因此單純相關會誤導,Part 3 才需要準實驗(DiD)來識別因果。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</si>
</sst>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"/>
    <numFmt numFmtId="177" formatCode="0.0&quot;x&quot;"/>
    <numFmt numFmtId="178" formatCode="\+0.0;\-0.0"/>
    <numFmt numFmtId="179" formatCode="0.0000"/>
    <numFmt numFmtId="180" formatCode="\+0.0000;\-0.0000"/>
    <numFmt numFmtId="181" formatCode="\+0.0&quot;%&quot;;\-0.0&quot;%&quot;"/>
    <numFmt numFmtId="182" formatCode="\+0.00;\-0.00"/>
    <numFmt numFmtId="183" formatCode="\+0.000;\-0.000"/>
    <numFmt numFmtId="184" formatCode="0.000"/>
  </numFmts>
  <fonts count="11" x14ac:knownFonts="1">
    <font>
      <sz val="11"/>
      <color theme="1"/>
      <name val="新細明體"/>
      <family val="2"/>
      <scheme val="minor"/>
    </font>
    <font>
      <b/>
      <sz val="15"/>
      <color rgb="FF1F3A5F"/>
      <name val="新細明體"/>
    </font>
    <font>
      <i/>
      <sz val="9"/>
      <color rgb="FF666666"/>
      <name val="新細明體"/>
    </font>
    <font>
      <b/>
      <sz val="11"/>
      <color rgb="FF1F3A5F"/>
      <name val="新細明體"/>
    </font>
    <font>
      <sz val="11"/>
      <name val="新細明體"/>
    </font>
    <font>
      <b/>
      <sz val="11"/>
      <color rgb="FFC0392B"/>
      <name val="新細明體"/>
    </font>
    <font>
      <b/>
      <sz val="14"/>
      <color rgb="FF1F3A5F"/>
      <name val="新細明體"/>
    </font>
    <font>
      <b/>
      <sz val="11"/>
      <color rgb="FFFFFFFF"/>
      <name val="新細明體"/>
    </font>
    <font>
      <b/>
      <sz val="11"/>
      <color rgb="FF1F3A5F"/>
      <name val="新細明體"/>
    </font>
    <font>
      <b/>
      <sz val="11"/>
      <color rgb="FFC0392B"/>
      <name val="新細明體"/>
    </font>
    <font>
      <sz val="9"/>
      <name val="新細明體"/>
      <family val="3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4F7"/>
      </patternFill>
    </fill>
    <fill>
      <patternFill patternType="solid">
        <fgColor rgb="FFFBE4E0"/>
      </patternFill>
    </fill>
    <fill>
      <patternFill patternType="solid">
        <fgColor rgb="FFE8EEF6"/>
      </patternFill>
    </fill>
    <fill>
      <patternFill patternType="solid">
        <fgColor rgb="FFFFF3B0"/>
      </patternFill>
    </fill>
  </fills>
  <borders count="2">
    <border>
      <left/>
      <right/>
      <top/>
      <bottom/>
      <diagonal/>
    </border>
    <border>
      <left style="thin">
        <color rgb="FFC9D2DD"/>
      </left>
      <right style="thin">
        <color rgb="FFC9D2DD"/>
      </right>
      <top style="thin">
        <color rgb="FFC9D2DD"/>
      </top>
      <bottom style="thin">
        <color rgb="FFC9D2DD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0" fillId="0" borderId="0" xfId="0" applyAlignment="1">
      <alignment horizontal="left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3" fontId="0" fillId="0" borderId="1" xfId="0" applyNumberFormat="1" applyBorder="1"/>
    <xf numFmtId="176" fontId="0" fillId="0" borderId="1" xfId="0" applyNumberFormat="1" applyBorder="1"/>
    <xf numFmtId="0" fontId="0" fillId="3" borderId="0" xfId="0" applyFill="1"/>
    <xf numFmtId="176" fontId="8" fillId="0" borderId="0" xfId="0" applyNumberFormat="1" applyFont="1"/>
    <xf numFmtId="176" fontId="9" fillId="0" borderId="0" xfId="0" applyNumberFormat="1" applyFont="1"/>
    <xf numFmtId="0" fontId="0" fillId="4" borderId="1" xfId="0" applyFill="1" applyBorder="1"/>
    <xf numFmtId="3" fontId="0" fillId="4" borderId="1" xfId="0" applyNumberFormat="1" applyFill="1" applyBorder="1"/>
    <xf numFmtId="176" fontId="0" fillId="4" borderId="1" xfId="0" applyNumberFormat="1" applyFill="1" applyBorder="1"/>
    <xf numFmtId="3" fontId="8" fillId="0" borderId="0" xfId="0" applyNumberFormat="1" applyFont="1"/>
    <xf numFmtId="0" fontId="8" fillId="0" borderId="0" xfId="0" applyFont="1"/>
    <xf numFmtId="2" fontId="0" fillId="0" borderId="1" xfId="0" applyNumberFormat="1" applyBorder="1"/>
    <xf numFmtId="1" fontId="0" fillId="0" borderId="1" xfId="0" applyNumberFormat="1" applyBorder="1"/>
    <xf numFmtId="177" fontId="9" fillId="0" borderId="0" xfId="0" applyNumberFormat="1" applyFont="1"/>
    <xf numFmtId="177" fontId="8" fillId="0" borderId="0" xfId="0" applyNumberFormat="1" applyFont="1"/>
    <xf numFmtId="178" fontId="0" fillId="0" borderId="1" xfId="0" applyNumberFormat="1" applyBorder="1"/>
    <xf numFmtId="179" fontId="0" fillId="0" borderId="1" xfId="0" applyNumberFormat="1" applyBorder="1"/>
    <xf numFmtId="0" fontId="0" fillId="5" borderId="1" xfId="0" applyFill="1" applyBorder="1"/>
    <xf numFmtId="179" fontId="0" fillId="0" borderId="0" xfId="0" applyNumberFormat="1"/>
    <xf numFmtId="180" fontId="0" fillId="0" borderId="0" xfId="0" applyNumberFormat="1"/>
    <xf numFmtId="0" fontId="0" fillId="6" borderId="0" xfId="0" applyFill="1"/>
    <xf numFmtId="180" fontId="9" fillId="0" borderId="0" xfId="0" applyNumberFormat="1" applyFont="1"/>
    <xf numFmtId="181" fontId="9" fillId="0" borderId="0" xfId="0" applyNumberFormat="1" applyFont="1"/>
    <xf numFmtId="182" fontId="9" fillId="0" borderId="0" xfId="0" applyNumberFormat="1" applyFont="1"/>
    <xf numFmtId="182" fontId="8" fillId="0" borderId="0" xfId="0" applyNumberFormat="1" applyFont="1"/>
    <xf numFmtId="1" fontId="8" fillId="0" borderId="0" xfId="0" applyNumberFormat="1" applyFont="1"/>
    <xf numFmtId="182" fontId="0" fillId="0" borderId="1" xfId="0" applyNumberFormat="1" applyBorder="1"/>
    <xf numFmtId="183" fontId="8" fillId="0" borderId="0" xfId="0" applyNumberFormat="1" applyFont="1"/>
    <xf numFmtId="184" fontId="8" fillId="0" borderId="0" xfId="0" applyNumberFormat="1" applyFont="1"/>
    <xf numFmtId="184" fontId="9" fillId="0" borderId="0" xfId="0" applyNumberFormat="1" applyFont="1"/>
    <xf numFmtId="179" fontId="8" fillId="0" borderId="0" xfId="0" applyNumberFormat="1" applyFont="1"/>
    <xf numFmtId="2" fontId="8" fillId="0" borderId="0" xfId="0" applyNumberFormat="1" applyFont="1"/>
    <xf numFmtId="0" fontId="2" fillId="0" borderId="0" xfId="0" applyFont="1" applyAlignment="1">
      <alignment horizontal="left" vertical="center" wrapText="1"/>
    </xf>
    <xf numFmtId="0" fontId="0" fillId="0" borderId="0" xfId="0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abSelected="1" workbookViewId="0">
      <selection activeCell="B4" sqref="B4"/>
    </sheetView>
  </sheetViews>
  <sheetFormatPr defaultRowHeight="15.45" x14ac:dyDescent="0.4"/>
  <cols>
    <col min="1" max="1" width="22" customWidth="1"/>
    <col min="2" max="2" width="95" customWidth="1"/>
  </cols>
  <sheetData>
    <row r="1" spans="1:2" ht="21" x14ac:dyDescent="0.55000000000000004">
      <c r="A1" s="1" t="s">
        <v>0</v>
      </c>
    </row>
    <row r="2" spans="1:2" x14ac:dyDescent="0.4">
      <c r="A2" s="2"/>
    </row>
    <row r="4" spans="1:2" x14ac:dyDescent="0.4">
      <c r="A4" s="3" t="s">
        <v>1</v>
      </c>
      <c r="B4" s="4"/>
    </row>
    <row r="5" spans="1:2" x14ac:dyDescent="0.4">
      <c r="A5" s="2" t="s">
        <v>2</v>
      </c>
      <c r="B5" s="4" t="s">
        <v>3</v>
      </c>
    </row>
    <row r="6" spans="1:2" x14ac:dyDescent="0.4">
      <c r="A6" s="2" t="s">
        <v>4</v>
      </c>
      <c r="B6" s="4" t="s">
        <v>5</v>
      </c>
    </row>
    <row r="7" spans="1:2" x14ac:dyDescent="0.4">
      <c r="A7" s="2" t="s">
        <v>6</v>
      </c>
      <c r="B7" s="4" t="s">
        <v>7</v>
      </c>
    </row>
    <row r="8" spans="1:2" x14ac:dyDescent="0.4">
      <c r="A8" s="2" t="s">
        <v>8</v>
      </c>
      <c r="B8" s="4" t="s">
        <v>9</v>
      </c>
    </row>
    <row r="10" spans="1:2" x14ac:dyDescent="0.4">
      <c r="A10" s="3" t="s">
        <v>10</v>
      </c>
      <c r="B10" s="4"/>
    </row>
    <row r="11" spans="1:2" x14ac:dyDescent="0.4">
      <c r="A11" s="5" t="s">
        <v>11</v>
      </c>
      <c r="B11" s="6" t="s">
        <v>12</v>
      </c>
    </row>
    <row r="12" spans="1:2" x14ac:dyDescent="0.4">
      <c r="A12" s="5" t="s">
        <v>13</v>
      </c>
      <c r="B12" s="6" t="s">
        <v>14</v>
      </c>
    </row>
    <row r="13" spans="1:2" x14ac:dyDescent="0.4">
      <c r="A13" s="5" t="s">
        <v>15</v>
      </c>
      <c r="B13" s="6" t="s">
        <v>16</v>
      </c>
    </row>
    <row r="14" spans="1:2" x14ac:dyDescent="0.4">
      <c r="A14" s="5" t="s">
        <v>17</v>
      </c>
      <c r="B14" s="6" t="s">
        <v>18</v>
      </c>
    </row>
    <row r="15" spans="1:2" x14ac:dyDescent="0.4">
      <c r="A15" s="5" t="s">
        <v>19</v>
      </c>
      <c r="B15" s="6" t="s">
        <v>20</v>
      </c>
    </row>
    <row r="16" spans="1:2" x14ac:dyDescent="0.4">
      <c r="A16" s="5" t="s">
        <v>21</v>
      </c>
      <c r="B16" s="6" t="s">
        <v>22</v>
      </c>
    </row>
    <row r="17" spans="1:2" x14ac:dyDescent="0.4">
      <c r="A17" s="5" t="s">
        <v>23</v>
      </c>
      <c r="B17" s="6" t="s">
        <v>24</v>
      </c>
    </row>
    <row r="19" spans="1:2" x14ac:dyDescent="0.4">
      <c r="A19" s="3" t="s">
        <v>25</v>
      </c>
      <c r="B19" s="4"/>
    </row>
    <row r="20" spans="1:2" ht="30.9" x14ac:dyDescent="0.4">
      <c r="A20" s="3" t="s">
        <v>26</v>
      </c>
      <c r="B20" s="6" t="s">
        <v>27</v>
      </c>
    </row>
    <row r="21" spans="1:2" x14ac:dyDescent="0.4">
      <c r="A21" s="3" t="s">
        <v>28</v>
      </c>
      <c r="B21" s="6" t="s">
        <v>29</v>
      </c>
    </row>
    <row r="22" spans="1:2" x14ac:dyDescent="0.4">
      <c r="A22" s="3" t="s">
        <v>30</v>
      </c>
      <c r="B22" s="6" t="s">
        <v>31</v>
      </c>
    </row>
    <row r="23" spans="1:2" ht="30.9" x14ac:dyDescent="0.4">
      <c r="A23" s="3" t="s">
        <v>32</v>
      </c>
      <c r="B23" s="6" t="s">
        <v>33</v>
      </c>
    </row>
    <row r="24" spans="1:2" ht="30.9" x14ac:dyDescent="0.4">
      <c r="A24" s="3" t="s">
        <v>34</v>
      </c>
      <c r="B24" s="6" t="s">
        <v>35</v>
      </c>
    </row>
  </sheetData>
  <phoneticPr fontId="1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6"/>
  <sheetViews>
    <sheetView workbookViewId="0">
      <pane ySplit="3" topLeftCell="A61" activePane="bottomLeft" state="frozen"/>
      <selection pane="bottomLeft" activeCell="A86" sqref="A86"/>
    </sheetView>
  </sheetViews>
  <sheetFormatPr defaultRowHeight="15.45" x14ac:dyDescent="0.4"/>
  <cols>
    <col min="1" max="1" width="14.25" customWidth="1"/>
    <col min="2" max="2" width="17" customWidth="1"/>
    <col min="3" max="3" width="16" customWidth="1"/>
    <col min="4" max="4" width="10" customWidth="1"/>
  </cols>
  <sheetData>
    <row r="1" spans="1:4" ht="20.149999999999999" x14ac:dyDescent="0.55000000000000004">
      <c r="A1" s="7" t="s">
        <v>36</v>
      </c>
    </row>
    <row r="2" spans="1:4" x14ac:dyDescent="0.4">
      <c r="A2" s="2" t="s">
        <v>37</v>
      </c>
    </row>
    <row r="4" spans="1:4" x14ac:dyDescent="0.4">
      <c r="A4" s="8" t="s">
        <v>38</v>
      </c>
      <c r="B4" s="8" t="s">
        <v>39</v>
      </c>
      <c r="C4" s="8" t="s">
        <v>40</v>
      </c>
      <c r="D4" s="8" t="s">
        <v>41</v>
      </c>
    </row>
    <row r="5" spans="1:4" x14ac:dyDescent="0.4">
      <c r="A5" s="9" t="s">
        <v>42</v>
      </c>
      <c r="B5" s="10">
        <v>9144641</v>
      </c>
      <c r="C5" s="10">
        <v>20825108</v>
      </c>
      <c r="D5" s="11">
        <f t="shared" ref="D5:D36" si="0">B5/C5*100</f>
        <v>43.91161380771711</v>
      </c>
    </row>
    <row r="6" spans="1:4" x14ac:dyDescent="0.4">
      <c r="A6" s="9" t="s">
        <v>43</v>
      </c>
      <c r="B6" s="10">
        <v>9292209</v>
      </c>
      <c r="C6" s="10">
        <v>20921590</v>
      </c>
      <c r="D6" s="11">
        <f t="shared" si="0"/>
        <v>44.414449379803351</v>
      </c>
    </row>
    <row r="7" spans="1:4" x14ac:dyDescent="0.4">
      <c r="A7" s="9" t="s">
        <v>44</v>
      </c>
      <c r="B7" s="10">
        <v>9391489</v>
      </c>
      <c r="C7" s="10">
        <v>21013492</v>
      </c>
      <c r="D7" s="11">
        <f t="shared" si="0"/>
        <v>44.692662219111419</v>
      </c>
    </row>
    <row r="8" spans="1:4" x14ac:dyDescent="0.4">
      <c r="A8" s="9" t="s">
        <v>45</v>
      </c>
      <c r="B8" s="10">
        <v>9476921</v>
      </c>
      <c r="C8" s="10">
        <v>21146287</v>
      </c>
      <c r="D8" s="11">
        <f t="shared" si="0"/>
        <v>44.816004814462232</v>
      </c>
    </row>
    <row r="9" spans="1:4" x14ac:dyDescent="0.4">
      <c r="A9" s="9" t="s">
        <v>46</v>
      </c>
      <c r="B9" s="10">
        <v>9533979</v>
      </c>
      <c r="C9" s="10">
        <v>21246516</v>
      </c>
      <c r="D9" s="11">
        <f t="shared" si="0"/>
        <v>44.873140612795062</v>
      </c>
    </row>
    <row r="10" spans="1:4" x14ac:dyDescent="0.4">
      <c r="A10" s="9" t="s">
        <v>47</v>
      </c>
      <c r="B10" s="10">
        <v>9602372</v>
      </c>
      <c r="C10" s="10">
        <v>21363311</v>
      </c>
      <c r="D10" s="11">
        <f t="shared" si="0"/>
        <v>44.947957739322334</v>
      </c>
    </row>
    <row r="11" spans="1:4" x14ac:dyDescent="0.4">
      <c r="A11" s="9" t="s">
        <v>48</v>
      </c>
      <c r="B11" s="10">
        <v>9656848</v>
      </c>
      <c r="C11" s="10">
        <v>21472827</v>
      </c>
      <c r="D11" s="11">
        <f t="shared" si="0"/>
        <v>44.972410945237904</v>
      </c>
    </row>
    <row r="12" spans="1:4" x14ac:dyDescent="0.4">
      <c r="A12" s="9" t="s">
        <v>49</v>
      </c>
      <c r="B12" s="10">
        <v>9702117</v>
      </c>
      <c r="C12" s="10">
        <v>21598863</v>
      </c>
      <c r="D12" s="11">
        <f t="shared" si="0"/>
        <v>44.919572849737506</v>
      </c>
    </row>
    <row r="13" spans="1:4" x14ac:dyDescent="0.4">
      <c r="A13" s="9" t="s">
        <v>50</v>
      </c>
      <c r="B13" s="10">
        <v>9745242</v>
      </c>
      <c r="C13" s="10">
        <v>21688777</v>
      </c>
      <c r="D13" s="11">
        <f t="shared" si="0"/>
        <v>44.932187739308674</v>
      </c>
    </row>
    <row r="14" spans="1:4" x14ac:dyDescent="0.4">
      <c r="A14" s="9" t="s">
        <v>51</v>
      </c>
      <c r="B14" s="10">
        <v>9820963</v>
      </c>
      <c r="C14" s="10">
        <v>21785165</v>
      </c>
      <c r="D14" s="11">
        <f t="shared" si="0"/>
        <v>45.080966795523466</v>
      </c>
    </row>
    <row r="15" spans="1:4" x14ac:dyDescent="0.4">
      <c r="A15" s="9" t="s">
        <v>52</v>
      </c>
      <c r="B15" s="10">
        <v>9866201</v>
      </c>
      <c r="C15" s="10">
        <v>21862635</v>
      </c>
      <c r="D15" s="11">
        <f t="shared" si="0"/>
        <v>45.128142147549916</v>
      </c>
    </row>
    <row r="16" spans="1:4" x14ac:dyDescent="0.4">
      <c r="A16" s="9" t="s">
        <v>53</v>
      </c>
      <c r="B16" s="10">
        <v>9912887</v>
      </c>
      <c r="C16" s="10">
        <v>21961094</v>
      </c>
      <c r="D16" s="11">
        <f t="shared" si="0"/>
        <v>45.138402485777803</v>
      </c>
    </row>
    <row r="17" spans="1:4" x14ac:dyDescent="0.4">
      <c r="A17" s="9" t="s">
        <v>54</v>
      </c>
      <c r="B17" s="10">
        <v>9973864</v>
      </c>
      <c r="C17" s="10">
        <v>22028695</v>
      </c>
      <c r="D17" s="11">
        <f t="shared" si="0"/>
        <v>45.276690244247334</v>
      </c>
    </row>
    <row r="18" spans="1:4" x14ac:dyDescent="0.4">
      <c r="A18" s="9" t="s">
        <v>55</v>
      </c>
      <c r="B18" s="10">
        <v>10064043</v>
      </c>
      <c r="C18" s="10">
        <v>22101330</v>
      </c>
      <c r="D18" s="11">
        <f t="shared" si="0"/>
        <v>45.535915711859879</v>
      </c>
    </row>
    <row r="19" spans="1:4" x14ac:dyDescent="0.4">
      <c r="A19" s="9" t="s">
        <v>56</v>
      </c>
      <c r="B19" s="10">
        <v>10117522</v>
      </c>
      <c r="C19" s="10">
        <v>22169380</v>
      </c>
      <c r="D19" s="11">
        <f t="shared" si="0"/>
        <v>45.637370102366418</v>
      </c>
    </row>
    <row r="20" spans="1:4" x14ac:dyDescent="0.4">
      <c r="A20" s="9" t="s">
        <v>57</v>
      </c>
      <c r="B20" s="10">
        <v>10168295</v>
      </c>
      <c r="C20" s="10">
        <v>22265665</v>
      </c>
      <c r="D20" s="11">
        <f t="shared" si="0"/>
        <v>45.668049887573538</v>
      </c>
    </row>
    <row r="21" spans="1:4" x14ac:dyDescent="0.4">
      <c r="A21" s="9" t="s">
        <v>58</v>
      </c>
      <c r="B21" s="10">
        <v>10255675</v>
      </c>
      <c r="C21" s="10">
        <v>22336907</v>
      </c>
      <c r="D21" s="11">
        <f t="shared" si="0"/>
        <v>45.913585976787211</v>
      </c>
    </row>
    <row r="22" spans="1:4" x14ac:dyDescent="0.4">
      <c r="A22" s="9" t="s">
        <v>59</v>
      </c>
      <c r="B22" s="10">
        <v>10353096</v>
      </c>
      <c r="C22" s="10">
        <v>22429657</v>
      </c>
      <c r="D22" s="11">
        <f t="shared" si="0"/>
        <v>46.158066527722646</v>
      </c>
    </row>
    <row r="23" spans="1:4" x14ac:dyDescent="0.4">
      <c r="A23" s="9" t="s">
        <v>60</v>
      </c>
      <c r="B23" s="10">
        <v>10403680</v>
      </c>
      <c r="C23" s="10">
        <v>22519080</v>
      </c>
      <c r="D23" s="11">
        <f t="shared" si="0"/>
        <v>46.199400685996054</v>
      </c>
    </row>
    <row r="24" spans="1:4" x14ac:dyDescent="0.4">
      <c r="A24" s="9" t="s">
        <v>61</v>
      </c>
      <c r="B24" s="10">
        <v>10455462</v>
      </c>
      <c r="C24" s="10">
        <v>22637894</v>
      </c>
      <c r="D24" s="11">
        <f t="shared" si="0"/>
        <v>46.185665504043797</v>
      </c>
    </row>
    <row r="25" spans="1:4" x14ac:dyDescent="0.4">
      <c r="A25" s="9" t="s">
        <v>62</v>
      </c>
      <c r="B25" s="10">
        <v>10587828</v>
      </c>
      <c r="C25" s="10">
        <v>22730432</v>
      </c>
      <c r="D25" s="11">
        <f t="shared" si="0"/>
        <v>46.579968211778819</v>
      </c>
    </row>
    <row r="26" spans="1:4" x14ac:dyDescent="0.4">
      <c r="A26" s="9" t="s">
        <v>63</v>
      </c>
      <c r="B26" s="10">
        <v>10670956</v>
      </c>
      <c r="C26" s="10">
        <v>22830893</v>
      </c>
      <c r="D26" s="11">
        <f t="shared" si="0"/>
        <v>46.739109153549094</v>
      </c>
    </row>
    <row r="27" spans="1:4" x14ac:dyDescent="0.4">
      <c r="A27" s="9" t="s">
        <v>64</v>
      </c>
      <c r="B27" s="10">
        <v>10710319</v>
      </c>
      <c r="C27" s="10">
        <v>22925003</v>
      </c>
      <c r="D27" s="11">
        <f t="shared" si="0"/>
        <v>46.718942632199436</v>
      </c>
    </row>
    <row r="28" spans="1:4" x14ac:dyDescent="0.4">
      <c r="A28" s="9" t="s">
        <v>65</v>
      </c>
      <c r="B28" s="10">
        <v>10763182</v>
      </c>
      <c r="C28" s="10">
        <v>23040029</v>
      </c>
      <c r="D28" s="11">
        <f t="shared" si="0"/>
        <v>46.71514085333834</v>
      </c>
    </row>
    <row r="29" spans="1:4" x14ac:dyDescent="0.4">
      <c r="A29" s="9" t="s">
        <v>66</v>
      </c>
      <c r="B29" s="10">
        <v>10850227</v>
      </c>
      <c r="C29" s="10">
        <v>23125167</v>
      </c>
      <c r="D29" s="11">
        <f t="shared" si="0"/>
        <v>46.919561705219252</v>
      </c>
    </row>
    <row r="30" spans="1:4" x14ac:dyDescent="0.4">
      <c r="A30" s="9" t="s">
        <v>67</v>
      </c>
      <c r="B30" s="10">
        <v>10926523</v>
      </c>
      <c r="C30" s="10">
        <v>23217286</v>
      </c>
      <c r="D30" s="11">
        <f t="shared" si="0"/>
        <v>47.062016637086693</v>
      </c>
    </row>
    <row r="31" spans="1:4" x14ac:dyDescent="0.4">
      <c r="A31" s="9" t="s">
        <v>68</v>
      </c>
      <c r="B31" s="10">
        <v>10958428</v>
      </c>
      <c r="C31" s="10">
        <v>23294839</v>
      </c>
      <c r="D31" s="11">
        <f t="shared" si="0"/>
        <v>47.04229979868073</v>
      </c>
    </row>
    <row r="32" spans="1:4" x14ac:dyDescent="0.4">
      <c r="A32" s="9" t="s">
        <v>69</v>
      </c>
      <c r="B32" s="10">
        <v>11004273</v>
      </c>
      <c r="C32" s="10">
        <v>23403293</v>
      </c>
      <c r="D32" s="11">
        <f t="shared" si="0"/>
        <v>47.020190705641298</v>
      </c>
    </row>
    <row r="33" spans="1:4" x14ac:dyDescent="0.4">
      <c r="A33" s="9" t="s">
        <v>70</v>
      </c>
      <c r="B33" s="10">
        <v>11091439</v>
      </c>
      <c r="C33" s="10">
        <v>23472790</v>
      </c>
      <c r="D33" s="11">
        <f t="shared" si="0"/>
        <v>47.252324926010076</v>
      </c>
    </row>
    <row r="34" spans="1:4" x14ac:dyDescent="0.4">
      <c r="A34" s="9" t="s">
        <v>71</v>
      </c>
      <c r="B34" s="10">
        <v>11152243</v>
      </c>
      <c r="C34" s="10">
        <v>23560017</v>
      </c>
      <c r="D34" s="11">
        <f t="shared" si="0"/>
        <v>47.335462448944753</v>
      </c>
    </row>
    <row r="35" spans="1:4" x14ac:dyDescent="0.4">
      <c r="A35" s="9" t="s">
        <v>72</v>
      </c>
      <c r="B35" s="10">
        <v>11180711</v>
      </c>
      <c r="C35" s="10">
        <v>23637446</v>
      </c>
      <c r="D35" s="11">
        <f t="shared" si="0"/>
        <v>47.300842062209256</v>
      </c>
    </row>
    <row r="36" spans="1:4" x14ac:dyDescent="0.4">
      <c r="A36" s="9" t="s">
        <v>73</v>
      </c>
      <c r="B36" s="10">
        <v>11229284</v>
      </c>
      <c r="C36" s="10">
        <v>23742774</v>
      </c>
      <c r="D36" s="11">
        <f t="shared" si="0"/>
        <v>47.295585595853289</v>
      </c>
    </row>
    <row r="37" spans="1:4" x14ac:dyDescent="0.4">
      <c r="A37" s="9" t="s">
        <v>74</v>
      </c>
      <c r="B37" s="10">
        <v>11276328</v>
      </c>
      <c r="C37" s="10">
        <v>23813144</v>
      </c>
      <c r="D37" s="11">
        <f t="shared" ref="D37:D68" si="1">B37/C37*100</f>
        <v>47.353377613640603</v>
      </c>
    </row>
    <row r="38" spans="1:4" x14ac:dyDescent="0.4">
      <c r="A38" s="9" t="s">
        <v>75</v>
      </c>
      <c r="B38" s="10">
        <v>11302105</v>
      </c>
      <c r="C38" s="10">
        <v>23901421</v>
      </c>
      <c r="D38" s="11">
        <f t="shared" si="1"/>
        <v>47.286330800164563</v>
      </c>
    </row>
    <row r="39" spans="1:4" x14ac:dyDescent="0.4">
      <c r="A39" s="9" t="s">
        <v>76</v>
      </c>
      <c r="B39" s="10">
        <v>11308465</v>
      </c>
      <c r="C39" s="10">
        <v>23981723</v>
      </c>
      <c r="D39" s="11">
        <f t="shared" si="1"/>
        <v>47.154514294073032</v>
      </c>
    </row>
    <row r="40" spans="1:4" x14ac:dyDescent="0.4">
      <c r="A40" s="9" t="s">
        <v>77</v>
      </c>
      <c r="B40" s="10">
        <v>11331535</v>
      </c>
      <c r="C40" s="10">
        <v>24100578</v>
      </c>
      <c r="D40" s="11">
        <f t="shared" si="1"/>
        <v>47.017689783207686</v>
      </c>
    </row>
    <row r="41" spans="1:4" x14ac:dyDescent="0.4">
      <c r="A41" s="9" t="s">
        <v>78</v>
      </c>
      <c r="B41" s="10">
        <v>11328577</v>
      </c>
      <c r="C41" s="10">
        <v>24186299</v>
      </c>
      <c r="D41" s="11">
        <f t="shared" si="1"/>
        <v>46.838819779743893</v>
      </c>
    </row>
    <row r="42" spans="1:4" x14ac:dyDescent="0.4">
      <c r="A42" s="9" t="s">
        <v>79</v>
      </c>
      <c r="B42" s="10">
        <v>11335297</v>
      </c>
      <c r="C42" s="10">
        <v>24292926</v>
      </c>
      <c r="D42" s="11">
        <f t="shared" si="1"/>
        <v>46.660896262558076</v>
      </c>
    </row>
    <row r="43" spans="1:4" x14ac:dyDescent="0.4">
      <c r="A43" s="9" t="s">
        <v>80</v>
      </c>
      <c r="B43" s="10">
        <v>11327512</v>
      </c>
      <c r="C43" s="10">
        <v>24380455</v>
      </c>
      <c r="D43" s="11">
        <f t="shared" si="1"/>
        <v>46.461446269152894</v>
      </c>
    </row>
    <row r="44" spans="1:4" x14ac:dyDescent="0.4">
      <c r="A44" s="9" t="s">
        <v>81</v>
      </c>
      <c r="B44" s="10">
        <v>11353517</v>
      </c>
      <c r="C44" s="10">
        <v>24506739</v>
      </c>
      <c r="D44" s="11">
        <f t="shared" si="1"/>
        <v>46.328142638643193</v>
      </c>
    </row>
    <row r="45" spans="1:4" x14ac:dyDescent="0.4">
      <c r="A45" s="9" t="s">
        <v>82</v>
      </c>
      <c r="B45" s="10">
        <v>11318742</v>
      </c>
      <c r="C45" s="10">
        <v>24587917</v>
      </c>
      <c r="D45" s="11">
        <f t="shared" si="1"/>
        <v>46.033757149904162</v>
      </c>
    </row>
    <row r="46" spans="1:4" x14ac:dyDescent="0.4">
      <c r="A46" s="9" t="s">
        <v>83</v>
      </c>
      <c r="B46" s="10">
        <v>11318588</v>
      </c>
      <c r="C46" s="10">
        <v>24685416</v>
      </c>
      <c r="D46" s="11">
        <f t="shared" si="1"/>
        <v>45.85131561080437</v>
      </c>
    </row>
    <row r="47" spans="1:4" x14ac:dyDescent="0.4">
      <c r="A47" s="9" t="s">
        <v>84</v>
      </c>
      <c r="B47" s="10">
        <v>11306294</v>
      </c>
      <c r="C47" s="10">
        <v>24754352</v>
      </c>
      <c r="D47" s="11">
        <f t="shared" si="1"/>
        <v>45.673964723455498</v>
      </c>
    </row>
    <row r="48" spans="1:4" x14ac:dyDescent="0.4">
      <c r="A48" s="9" t="s">
        <v>85</v>
      </c>
      <c r="B48" s="10">
        <v>11316775</v>
      </c>
      <c r="C48" s="10">
        <v>24877042</v>
      </c>
      <c r="D48" s="11">
        <f t="shared" si="1"/>
        <v>45.490838500815329</v>
      </c>
    </row>
    <row r="49" spans="1:4" x14ac:dyDescent="0.4">
      <c r="A49" s="9" t="s">
        <v>86</v>
      </c>
      <c r="B49" s="10">
        <v>11259263</v>
      </c>
      <c r="C49" s="10">
        <v>24958533</v>
      </c>
      <c r="D49" s="11">
        <f t="shared" si="1"/>
        <v>45.111878170083152</v>
      </c>
    </row>
    <row r="50" spans="1:4" x14ac:dyDescent="0.4">
      <c r="A50" s="9" t="s">
        <v>87</v>
      </c>
      <c r="B50" s="10">
        <v>11254007</v>
      </c>
      <c r="C50" s="10">
        <v>25062678</v>
      </c>
      <c r="D50" s="11">
        <f t="shared" si="1"/>
        <v>44.903449663280199</v>
      </c>
    </row>
    <row r="51" spans="1:4" x14ac:dyDescent="0.4">
      <c r="A51" s="9" t="s">
        <v>88</v>
      </c>
      <c r="B51" s="10">
        <v>11241637</v>
      </c>
      <c r="C51" s="10">
        <v>25141417</v>
      </c>
      <c r="D51" s="11">
        <f t="shared" si="1"/>
        <v>44.71361737486793</v>
      </c>
    </row>
    <row r="52" spans="1:4" x14ac:dyDescent="0.4">
      <c r="A52" s="9" t="s">
        <v>89</v>
      </c>
      <c r="B52" s="10">
        <v>11256108</v>
      </c>
      <c r="C52" s="10">
        <v>25260163</v>
      </c>
      <c r="D52" s="11">
        <f t="shared" si="1"/>
        <v>44.560710079345093</v>
      </c>
    </row>
    <row r="53" spans="1:4" x14ac:dyDescent="0.4">
      <c r="A53" s="9" t="s">
        <v>90</v>
      </c>
      <c r="B53" s="10">
        <v>11227569</v>
      </c>
      <c r="C53" s="10">
        <v>25330050</v>
      </c>
      <c r="D53" s="11">
        <f t="shared" si="1"/>
        <v>44.325096081531619</v>
      </c>
    </row>
    <row r="54" spans="1:4" x14ac:dyDescent="0.4">
      <c r="A54" s="9" t="s">
        <v>91</v>
      </c>
      <c r="B54" s="10">
        <v>11242726</v>
      </c>
      <c r="C54" s="10">
        <v>25433297</v>
      </c>
      <c r="D54" s="11">
        <f t="shared" si="1"/>
        <v>44.204752533656958</v>
      </c>
    </row>
    <row r="55" spans="1:4" x14ac:dyDescent="0.4">
      <c r="A55" s="9" t="s">
        <v>92</v>
      </c>
      <c r="B55" s="10">
        <v>11233123</v>
      </c>
      <c r="C55" s="10">
        <v>25515699</v>
      </c>
      <c r="D55" s="11">
        <f t="shared" si="1"/>
        <v>44.024359277792072</v>
      </c>
    </row>
    <row r="56" spans="1:4" x14ac:dyDescent="0.4">
      <c r="A56" s="9" t="s">
        <v>93</v>
      </c>
      <c r="B56" s="10">
        <v>11225962</v>
      </c>
      <c r="C56" s="10">
        <v>25623118</v>
      </c>
      <c r="D56" s="11">
        <f t="shared" si="1"/>
        <v>43.811849908352293</v>
      </c>
    </row>
    <row r="57" spans="1:4" x14ac:dyDescent="0.4">
      <c r="A57" s="9" t="s">
        <v>94</v>
      </c>
      <c r="B57" s="10">
        <v>11197395</v>
      </c>
      <c r="C57" s="10">
        <v>25644445</v>
      </c>
      <c r="D57" s="11">
        <f t="shared" si="1"/>
        <v>43.664017684921632</v>
      </c>
    </row>
    <row r="58" spans="1:4" x14ac:dyDescent="0.4">
      <c r="A58" s="9" t="s">
        <v>95</v>
      </c>
      <c r="B58" s="10">
        <v>11301501</v>
      </c>
      <c r="C58" s="10">
        <v>25628523</v>
      </c>
      <c r="D58" s="11">
        <f t="shared" si="1"/>
        <v>44.097355903030383</v>
      </c>
    </row>
    <row r="59" spans="1:4" x14ac:dyDescent="0.4">
      <c r="A59" s="9" t="s">
        <v>96</v>
      </c>
      <c r="B59" s="10">
        <v>11336302</v>
      </c>
      <c r="C59" s="10">
        <v>25625875</v>
      </c>
      <c r="D59" s="11">
        <f t="shared" si="1"/>
        <v>44.237716760891097</v>
      </c>
    </row>
    <row r="60" spans="1:4" x14ac:dyDescent="0.4">
      <c r="A60" s="9" t="s">
        <v>97</v>
      </c>
      <c r="B60" s="10">
        <v>11396181</v>
      </c>
      <c r="C60" s="10">
        <v>25648154</v>
      </c>
      <c r="D60" s="11">
        <f t="shared" si="1"/>
        <v>44.432753327978304</v>
      </c>
    </row>
    <row r="61" spans="1:4" x14ac:dyDescent="0.4">
      <c r="A61" s="9" t="s">
        <v>98</v>
      </c>
      <c r="B61" s="10">
        <v>11442584</v>
      </c>
      <c r="C61" s="10">
        <v>25680562</v>
      </c>
      <c r="D61" s="11">
        <f t="shared" si="1"/>
        <v>44.557373783330753</v>
      </c>
    </row>
    <row r="62" spans="1:4" x14ac:dyDescent="0.4">
      <c r="A62" s="9" t="s">
        <v>99</v>
      </c>
      <c r="B62" s="10">
        <v>11506349</v>
      </c>
      <c r="C62" s="10">
        <v>25699928</v>
      </c>
      <c r="D62" s="11">
        <f t="shared" si="1"/>
        <v>44.77191142325379</v>
      </c>
    </row>
    <row r="63" spans="1:4" x14ac:dyDescent="0.4">
      <c r="A63" s="9" t="s">
        <v>100</v>
      </c>
      <c r="B63" s="10">
        <v>11564806</v>
      </c>
      <c r="C63" s="10">
        <v>25768935</v>
      </c>
      <c r="D63" s="11">
        <f t="shared" si="1"/>
        <v>44.878866744007851</v>
      </c>
    </row>
    <row r="64" spans="1:4" x14ac:dyDescent="0.4">
      <c r="A64" s="9" t="s">
        <v>101</v>
      </c>
      <c r="B64" s="10">
        <v>11621039</v>
      </c>
      <c r="C64" s="10">
        <v>25908086</v>
      </c>
      <c r="D64" s="11">
        <f t="shared" si="1"/>
        <v>44.854872721975681</v>
      </c>
    </row>
    <row r="65" spans="1:4" x14ac:dyDescent="0.4">
      <c r="A65" s="9" t="s">
        <v>102</v>
      </c>
      <c r="B65" s="10">
        <v>11678283</v>
      </c>
      <c r="C65" s="10">
        <v>26013800</v>
      </c>
      <c r="D65" s="11">
        <f t="shared" si="1"/>
        <v>44.892645442034613</v>
      </c>
    </row>
    <row r="66" spans="1:4" x14ac:dyDescent="0.4">
      <c r="A66" s="9" t="s">
        <v>103</v>
      </c>
      <c r="B66" s="10">
        <v>11763117</v>
      </c>
      <c r="C66" s="10">
        <v>26164362</v>
      </c>
      <c r="D66" s="11">
        <f t="shared" si="1"/>
        <v>44.958547049608931</v>
      </c>
    </row>
    <row r="67" spans="1:4" x14ac:dyDescent="0.4">
      <c r="A67" s="9" t="s">
        <v>104</v>
      </c>
      <c r="B67" s="10">
        <v>11815482</v>
      </c>
      <c r="C67" s="10">
        <v>26315341</v>
      </c>
      <c r="D67" s="11">
        <f t="shared" si="1"/>
        <v>44.899596778928306</v>
      </c>
    </row>
    <row r="68" spans="1:4" x14ac:dyDescent="0.4">
      <c r="A68" s="9" t="s">
        <v>105</v>
      </c>
      <c r="B68" s="10">
        <v>11878836</v>
      </c>
      <c r="C68" s="10">
        <v>26509345</v>
      </c>
      <c r="D68" s="11">
        <f t="shared" si="1"/>
        <v>44.809994362365423</v>
      </c>
    </row>
    <row r="69" spans="1:4" x14ac:dyDescent="0.4">
      <c r="A69" s="9" t="s">
        <v>106</v>
      </c>
      <c r="B69" s="10">
        <v>11948443</v>
      </c>
      <c r="C69" s="10">
        <v>26654952</v>
      </c>
      <c r="D69" s="11">
        <f t="shared" ref="D69:D100" si="2">B69/C69*100</f>
        <v>44.826353467078093</v>
      </c>
    </row>
    <row r="70" spans="1:4" x14ac:dyDescent="0.4">
      <c r="A70" s="9" t="s">
        <v>107</v>
      </c>
      <c r="B70" s="10">
        <v>12038013</v>
      </c>
      <c r="C70" s="10">
        <v>26826139</v>
      </c>
      <c r="D70" s="11">
        <f t="shared" si="2"/>
        <v>44.874191548772636</v>
      </c>
    </row>
    <row r="71" spans="1:4" x14ac:dyDescent="0.4">
      <c r="A71" s="9" t="s">
        <v>108</v>
      </c>
      <c r="B71" s="10">
        <v>12092921</v>
      </c>
      <c r="C71" s="10">
        <v>26951681</v>
      </c>
      <c r="D71" s="11">
        <f t="shared" si="2"/>
        <v>44.86889333544724</v>
      </c>
    </row>
    <row r="72" spans="1:4" x14ac:dyDescent="0.4">
      <c r="A72" s="9" t="s">
        <v>109</v>
      </c>
      <c r="B72" s="10">
        <v>12171944</v>
      </c>
      <c r="C72" s="10">
        <v>27108534</v>
      </c>
      <c r="D72" s="11">
        <f t="shared" si="2"/>
        <v>44.900782904748745</v>
      </c>
    </row>
    <row r="73" spans="1:4" x14ac:dyDescent="0.4">
      <c r="A73" s="9" t="s">
        <v>110</v>
      </c>
      <c r="B73" s="10">
        <v>12235920</v>
      </c>
      <c r="C73" s="10">
        <v>27189291</v>
      </c>
      <c r="D73" s="11">
        <f t="shared" si="2"/>
        <v>45.002718165766076</v>
      </c>
    </row>
    <row r="74" spans="1:4" x14ac:dyDescent="0.4">
      <c r="A74" s="9" t="s">
        <v>111</v>
      </c>
      <c r="B74" s="10">
        <v>12341521</v>
      </c>
      <c r="C74" s="10">
        <v>27296163</v>
      </c>
      <c r="D74" s="11">
        <f t="shared" si="2"/>
        <v>45.213391347347972</v>
      </c>
    </row>
    <row r="75" spans="1:4" x14ac:dyDescent="0.4">
      <c r="A75" s="9" t="s">
        <v>112</v>
      </c>
      <c r="B75" s="10">
        <v>12400800</v>
      </c>
      <c r="C75" s="10">
        <v>27383135</v>
      </c>
      <c r="D75" s="11">
        <f t="shared" si="2"/>
        <v>45.28626835459125</v>
      </c>
    </row>
    <row r="76" spans="1:4" x14ac:dyDescent="0.4">
      <c r="A76" s="9" t="s">
        <v>113</v>
      </c>
      <c r="B76" s="10">
        <v>12482109</v>
      </c>
      <c r="C76" s="10">
        <v>27526440</v>
      </c>
      <c r="D76" s="11">
        <f t="shared" si="2"/>
        <v>45.345889261379241</v>
      </c>
    </row>
    <row r="77" spans="1:4" x14ac:dyDescent="0.4">
      <c r="A77" s="9" t="s">
        <v>114</v>
      </c>
      <c r="B77" s="10">
        <v>12531009</v>
      </c>
      <c r="C77" s="10">
        <v>27608641</v>
      </c>
      <c r="D77" s="11">
        <f t="shared" si="2"/>
        <v>45.387996460963073</v>
      </c>
    </row>
    <row r="78" spans="1:4" x14ac:dyDescent="0.4">
      <c r="A78" s="9" t="s">
        <v>115</v>
      </c>
      <c r="B78" s="10">
        <v>12633931</v>
      </c>
      <c r="C78" s="10">
        <v>27719726</v>
      </c>
      <c r="D78" s="11">
        <f t="shared" si="2"/>
        <v>45.57740217201281</v>
      </c>
    </row>
    <row r="79" spans="1:4" x14ac:dyDescent="0.4">
      <c r="A79" s="9" t="s">
        <v>116</v>
      </c>
      <c r="B79" s="10">
        <v>12688193</v>
      </c>
      <c r="C79" s="10">
        <v>27828925</v>
      </c>
      <c r="D79" s="11">
        <f t="shared" si="2"/>
        <v>45.593543408521889</v>
      </c>
    </row>
    <row r="80" spans="1:4" x14ac:dyDescent="0.4">
      <c r="A80" s="9" t="s">
        <v>117</v>
      </c>
      <c r="B80" s="10">
        <v>12790111</v>
      </c>
      <c r="C80" s="10">
        <v>27930779</v>
      </c>
      <c r="D80" s="11">
        <f t="shared" si="2"/>
        <v>45.792174289159639</v>
      </c>
    </row>
    <row r="82" spans="1:2" x14ac:dyDescent="0.4">
      <c r="A82" s="3" t="s">
        <v>118</v>
      </c>
    </row>
    <row r="83" spans="1:2" x14ac:dyDescent="0.4">
      <c r="A83" s="12" t="s">
        <v>119</v>
      </c>
      <c r="B83" s="13">
        <f>D5</f>
        <v>43.91161380771711</v>
      </c>
    </row>
    <row r="84" spans="1:2" x14ac:dyDescent="0.4">
      <c r="A84" s="12" t="s">
        <v>120</v>
      </c>
      <c r="B84" s="13">
        <f>MAX(D5:D80)</f>
        <v>47.353377613640603</v>
      </c>
    </row>
    <row r="85" spans="1:2" x14ac:dyDescent="0.4">
      <c r="A85" s="12" t="s">
        <v>121</v>
      </c>
      <c r="B85" s="13">
        <f>MIN(D5:D80)</f>
        <v>43.664017684921632</v>
      </c>
    </row>
    <row r="86" spans="1:2" x14ac:dyDescent="0.4">
      <c r="A86" s="12" t="s">
        <v>122</v>
      </c>
      <c r="B86" s="13">
        <f>D80</f>
        <v>45.792174289159639</v>
      </c>
    </row>
  </sheetData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5"/>
  <sheetViews>
    <sheetView workbookViewId="0">
      <pane ySplit="3" topLeftCell="A49" activePane="bottomLeft" state="frozen"/>
      <selection pane="bottomLeft" activeCell="A2" sqref="A2"/>
    </sheetView>
  </sheetViews>
  <sheetFormatPr defaultRowHeight="15.45" x14ac:dyDescent="0.4"/>
  <cols>
    <col min="1" max="1" width="19.25" customWidth="1"/>
    <col min="2" max="2" width="15" customWidth="1"/>
    <col min="3" max="3" width="16" customWidth="1"/>
    <col min="4" max="4" width="12" customWidth="1"/>
  </cols>
  <sheetData>
    <row r="1" spans="1:4" ht="20.149999999999999" x14ac:dyDescent="0.55000000000000004">
      <c r="A1" s="7" t="s">
        <v>123</v>
      </c>
    </row>
    <row r="2" spans="1:4" x14ac:dyDescent="0.4">
      <c r="A2" s="2" t="s">
        <v>124</v>
      </c>
    </row>
    <row r="4" spans="1:4" x14ac:dyDescent="0.4">
      <c r="A4" s="8" t="s">
        <v>38</v>
      </c>
      <c r="B4" s="8" t="s">
        <v>125</v>
      </c>
      <c r="C4" s="8" t="s">
        <v>126</v>
      </c>
      <c r="D4" s="8" t="s">
        <v>127</v>
      </c>
    </row>
    <row r="5" spans="1:4" x14ac:dyDescent="0.4">
      <c r="A5" s="9" t="s">
        <v>42</v>
      </c>
      <c r="B5" s="10">
        <v>9144641</v>
      </c>
      <c r="C5" s="10">
        <v>4411322</v>
      </c>
      <c r="D5" s="11">
        <f t="shared" ref="D5:D36" si="0">C5/B5*100</f>
        <v>48.239422411442945</v>
      </c>
    </row>
    <row r="6" spans="1:4" x14ac:dyDescent="0.4">
      <c r="A6" s="9" t="s">
        <v>43</v>
      </c>
      <c r="B6" s="10">
        <v>9292209</v>
      </c>
      <c r="C6" s="10">
        <v>4507825</v>
      </c>
      <c r="D6" s="11">
        <f t="shared" si="0"/>
        <v>48.511876992865744</v>
      </c>
    </row>
    <row r="7" spans="1:4" x14ac:dyDescent="0.4">
      <c r="A7" s="9" t="s">
        <v>44</v>
      </c>
      <c r="B7" s="10">
        <v>9391489</v>
      </c>
      <c r="C7" s="10">
        <v>4561376</v>
      </c>
      <c r="D7" s="11">
        <f t="shared" si="0"/>
        <v>48.569252436967133</v>
      </c>
    </row>
    <row r="8" spans="1:4" x14ac:dyDescent="0.4">
      <c r="A8" s="9" t="s">
        <v>45</v>
      </c>
      <c r="B8" s="10">
        <v>9476921</v>
      </c>
      <c r="C8" s="10">
        <v>4610831</v>
      </c>
      <c r="D8" s="11">
        <f t="shared" si="0"/>
        <v>48.653259850957923</v>
      </c>
    </row>
    <row r="9" spans="1:4" x14ac:dyDescent="0.4">
      <c r="A9" s="9" t="s">
        <v>46</v>
      </c>
      <c r="B9" s="10">
        <v>9533979</v>
      </c>
      <c r="C9" s="10">
        <v>4641672</v>
      </c>
      <c r="D9" s="11">
        <f t="shared" si="0"/>
        <v>48.685569792003946</v>
      </c>
    </row>
    <row r="10" spans="1:4" x14ac:dyDescent="0.4">
      <c r="A10" s="9" t="s">
        <v>47</v>
      </c>
      <c r="B10" s="10">
        <v>9602372</v>
      </c>
      <c r="C10" s="10">
        <v>4678478</v>
      </c>
      <c r="D10" s="11">
        <f t="shared" si="0"/>
        <v>48.722107412626798</v>
      </c>
    </row>
    <row r="11" spans="1:4" x14ac:dyDescent="0.4">
      <c r="A11" s="9" t="s">
        <v>48</v>
      </c>
      <c r="B11" s="10">
        <v>9656848</v>
      </c>
      <c r="C11" s="10">
        <v>4697510</v>
      </c>
      <c r="D11" s="11">
        <f t="shared" si="0"/>
        <v>48.644340265063711</v>
      </c>
    </row>
    <row r="12" spans="1:4" x14ac:dyDescent="0.4">
      <c r="A12" s="9" t="s">
        <v>49</v>
      </c>
      <c r="B12" s="10">
        <v>9702117</v>
      </c>
      <c r="C12" s="10">
        <v>4716132</v>
      </c>
      <c r="D12" s="11">
        <f t="shared" si="0"/>
        <v>48.609308669437809</v>
      </c>
    </row>
    <row r="13" spans="1:4" x14ac:dyDescent="0.4">
      <c r="A13" s="9" t="s">
        <v>50</v>
      </c>
      <c r="B13" s="10">
        <v>9745242</v>
      </c>
      <c r="C13" s="10">
        <v>4732284</v>
      </c>
      <c r="D13" s="11">
        <f t="shared" si="0"/>
        <v>48.559943406228392</v>
      </c>
    </row>
    <row r="14" spans="1:4" x14ac:dyDescent="0.4">
      <c r="A14" s="9" t="s">
        <v>51</v>
      </c>
      <c r="B14" s="10">
        <v>9820963</v>
      </c>
      <c r="C14" s="10">
        <v>4770379</v>
      </c>
      <c r="D14" s="11">
        <f t="shared" si="0"/>
        <v>48.573434193775086</v>
      </c>
    </row>
    <row r="15" spans="1:4" x14ac:dyDescent="0.4">
      <c r="A15" s="9" t="s">
        <v>52</v>
      </c>
      <c r="B15" s="10">
        <v>9866201</v>
      </c>
      <c r="C15" s="10">
        <v>4779258</v>
      </c>
      <c r="D15" s="11">
        <f t="shared" si="0"/>
        <v>48.440711880895186</v>
      </c>
    </row>
    <row r="16" spans="1:4" x14ac:dyDescent="0.4">
      <c r="A16" s="9" t="s">
        <v>53</v>
      </c>
      <c r="B16" s="10">
        <v>9912887</v>
      </c>
      <c r="C16" s="10">
        <v>4793143</v>
      </c>
      <c r="D16" s="11">
        <f t="shared" si="0"/>
        <v>48.352644391084048</v>
      </c>
    </row>
    <row r="17" spans="1:4" x14ac:dyDescent="0.4">
      <c r="A17" s="9" t="s">
        <v>54</v>
      </c>
      <c r="B17" s="10">
        <v>9973864</v>
      </c>
      <c r="C17" s="10">
        <v>4820508</v>
      </c>
      <c r="D17" s="11">
        <f t="shared" si="0"/>
        <v>48.331398944280771</v>
      </c>
    </row>
    <row r="18" spans="1:4" x14ac:dyDescent="0.4">
      <c r="A18" s="9" t="s">
        <v>55</v>
      </c>
      <c r="B18" s="10">
        <v>10064043</v>
      </c>
      <c r="C18" s="10">
        <v>4867682</v>
      </c>
      <c r="D18" s="11">
        <f t="shared" si="0"/>
        <v>48.367062819584532</v>
      </c>
    </row>
    <row r="19" spans="1:4" x14ac:dyDescent="0.4">
      <c r="A19" s="9" t="s">
        <v>56</v>
      </c>
      <c r="B19" s="10">
        <v>10117522</v>
      </c>
      <c r="C19" s="10">
        <v>4879662</v>
      </c>
      <c r="D19" s="11">
        <f t="shared" si="0"/>
        <v>48.229813584788843</v>
      </c>
    </row>
    <row r="20" spans="1:4" x14ac:dyDescent="0.4">
      <c r="A20" s="9" t="s">
        <v>57</v>
      </c>
      <c r="B20" s="10">
        <v>10168295</v>
      </c>
      <c r="C20" s="10">
        <v>4897369</v>
      </c>
      <c r="D20" s="11">
        <f t="shared" si="0"/>
        <v>48.163128626775681</v>
      </c>
    </row>
    <row r="21" spans="1:4" x14ac:dyDescent="0.4">
      <c r="A21" s="9" t="s">
        <v>58</v>
      </c>
      <c r="B21" s="10">
        <v>10255675</v>
      </c>
      <c r="C21" s="10">
        <v>4944759</v>
      </c>
      <c r="D21" s="11">
        <f t="shared" si="0"/>
        <v>48.214856652536284</v>
      </c>
    </row>
    <row r="22" spans="1:4" x14ac:dyDescent="0.4">
      <c r="A22" s="9" t="s">
        <v>59</v>
      </c>
      <c r="B22" s="10">
        <v>10353096</v>
      </c>
      <c r="C22" s="10">
        <v>4995378</v>
      </c>
      <c r="D22" s="11">
        <f t="shared" si="0"/>
        <v>48.250088669128537</v>
      </c>
    </row>
    <row r="23" spans="1:4" x14ac:dyDescent="0.4">
      <c r="A23" s="9" t="s">
        <v>60</v>
      </c>
      <c r="B23" s="10">
        <v>10403680</v>
      </c>
      <c r="C23" s="10">
        <v>5006772</v>
      </c>
      <c r="D23" s="11">
        <f t="shared" si="0"/>
        <v>48.125009611983458</v>
      </c>
    </row>
    <row r="24" spans="1:4" x14ac:dyDescent="0.4">
      <c r="A24" s="9" t="s">
        <v>61</v>
      </c>
      <c r="B24" s="10">
        <v>10455462</v>
      </c>
      <c r="C24" s="10">
        <v>5025509</v>
      </c>
      <c r="D24" s="11">
        <f t="shared" si="0"/>
        <v>48.065872172841331</v>
      </c>
    </row>
    <row r="25" spans="1:4" x14ac:dyDescent="0.4">
      <c r="A25" s="9" t="s">
        <v>62</v>
      </c>
      <c r="B25" s="10">
        <v>10587828</v>
      </c>
      <c r="C25" s="10">
        <v>5103797</v>
      </c>
      <c r="D25" s="11">
        <f t="shared" si="0"/>
        <v>48.204381484096643</v>
      </c>
    </row>
    <row r="26" spans="1:4" x14ac:dyDescent="0.4">
      <c r="A26" s="9" t="s">
        <v>63</v>
      </c>
      <c r="B26" s="10">
        <v>10670956</v>
      </c>
      <c r="C26" s="10">
        <v>5147402</v>
      </c>
      <c r="D26" s="11">
        <f t="shared" si="0"/>
        <v>48.237496246821749</v>
      </c>
    </row>
    <row r="27" spans="1:4" x14ac:dyDescent="0.4">
      <c r="A27" s="9" t="s">
        <v>64</v>
      </c>
      <c r="B27" s="10">
        <v>10710319</v>
      </c>
      <c r="C27" s="10">
        <v>5151653</v>
      </c>
      <c r="D27" s="11">
        <f t="shared" si="0"/>
        <v>48.099902533248546</v>
      </c>
    </row>
    <row r="28" spans="1:4" x14ac:dyDescent="0.4">
      <c r="A28" s="9" t="s">
        <v>65</v>
      </c>
      <c r="B28" s="10">
        <v>10763182</v>
      </c>
      <c r="C28" s="10">
        <v>5171370</v>
      </c>
      <c r="D28" s="11">
        <f t="shared" si="0"/>
        <v>48.046850829057803</v>
      </c>
    </row>
    <row r="29" spans="1:4" x14ac:dyDescent="0.4">
      <c r="A29" s="9" t="s">
        <v>66</v>
      </c>
      <c r="B29" s="10">
        <v>10850227</v>
      </c>
      <c r="C29" s="10">
        <v>5222549</v>
      </c>
      <c r="D29" s="11">
        <f t="shared" si="0"/>
        <v>48.133085141905326</v>
      </c>
    </row>
    <row r="30" spans="1:4" x14ac:dyDescent="0.4">
      <c r="A30" s="9" t="s">
        <v>67</v>
      </c>
      <c r="B30" s="10">
        <v>10926523</v>
      </c>
      <c r="C30" s="10">
        <v>5265047</v>
      </c>
      <c r="D30" s="11">
        <f t="shared" si="0"/>
        <v>48.185932524006034</v>
      </c>
    </row>
    <row r="31" spans="1:4" x14ac:dyDescent="0.4">
      <c r="A31" s="9" t="s">
        <v>68</v>
      </c>
      <c r="B31" s="10">
        <v>10958428</v>
      </c>
      <c r="C31" s="10">
        <v>5264517</v>
      </c>
      <c r="D31" s="11">
        <f t="shared" si="0"/>
        <v>48.0408047577627</v>
      </c>
    </row>
    <row r="32" spans="1:4" x14ac:dyDescent="0.4">
      <c r="A32" s="9" t="s">
        <v>69</v>
      </c>
      <c r="B32" s="10">
        <v>11004273</v>
      </c>
      <c r="C32" s="10">
        <v>5279550</v>
      </c>
      <c r="D32" s="11">
        <f t="shared" si="0"/>
        <v>47.977272101482761</v>
      </c>
    </row>
    <row r="33" spans="1:4" x14ac:dyDescent="0.4">
      <c r="A33" s="9" t="s">
        <v>70</v>
      </c>
      <c r="B33" s="10">
        <v>11091439</v>
      </c>
      <c r="C33" s="10">
        <v>5333941</v>
      </c>
      <c r="D33" s="11">
        <f t="shared" si="0"/>
        <v>48.090612949320644</v>
      </c>
    </row>
    <row r="34" spans="1:4" x14ac:dyDescent="0.4">
      <c r="A34" s="9" t="s">
        <v>71</v>
      </c>
      <c r="B34" s="10">
        <v>11152243</v>
      </c>
      <c r="C34" s="10">
        <v>5361341</v>
      </c>
      <c r="D34" s="11">
        <f t="shared" si="0"/>
        <v>48.07410491324481</v>
      </c>
    </row>
    <row r="35" spans="1:4" x14ac:dyDescent="0.4">
      <c r="A35" s="9" t="s">
        <v>72</v>
      </c>
      <c r="B35" s="10">
        <v>11180711</v>
      </c>
      <c r="C35" s="10">
        <v>5358316</v>
      </c>
      <c r="D35" s="11">
        <f t="shared" si="0"/>
        <v>47.924644506060481</v>
      </c>
    </row>
    <row r="36" spans="1:4" x14ac:dyDescent="0.4">
      <c r="A36" s="9" t="s">
        <v>73</v>
      </c>
      <c r="B36" s="10">
        <v>11229284</v>
      </c>
      <c r="C36" s="10">
        <v>5370471</v>
      </c>
      <c r="D36" s="11">
        <f t="shared" si="0"/>
        <v>47.825587098874692</v>
      </c>
    </row>
    <row r="37" spans="1:4" x14ac:dyDescent="0.4">
      <c r="A37" s="9" t="s">
        <v>74</v>
      </c>
      <c r="B37" s="10">
        <v>11276328</v>
      </c>
      <c r="C37" s="10">
        <v>5405335</v>
      </c>
      <c r="D37" s="11">
        <f t="shared" ref="D37:D68" si="1">C37/B37*100</f>
        <v>47.935240975608373</v>
      </c>
    </row>
    <row r="38" spans="1:4" x14ac:dyDescent="0.4">
      <c r="A38" s="9" t="s">
        <v>75</v>
      </c>
      <c r="B38" s="10">
        <v>11302105</v>
      </c>
      <c r="C38" s="10">
        <v>5410889</v>
      </c>
      <c r="D38" s="11">
        <f t="shared" si="1"/>
        <v>47.875055133534858</v>
      </c>
    </row>
    <row r="39" spans="1:4" x14ac:dyDescent="0.4">
      <c r="A39" s="9" t="s">
        <v>76</v>
      </c>
      <c r="B39" s="10">
        <v>11308465</v>
      </c>
      <c r="C39" s="10">
        <v>5394577</v>
      </c>
      <c r="D39" s="11">
        <f t="shared" si="1"/>
        <v>47.703883772023872</v>
      </c>
    </row>
    <row r="40" spans="1:4" x14ac:dyDescent="0.4">
      <c r="A40" s="9" t="s">
        <v>77</v>
      </c>
      <c r="B40" s="10">
        <v>11331535</v>
      </c>
      <c r="C40" s="10">
        <v>5393307</v>
      </c>
      <c r="D40" s="11">
        <f t="shared" si="1"/>
        <v>47.595555235896988</v>
      </c>
    </row>
    <row r="41" spans="1:4" x14ac:dyDescent="0.4">
      <c r="A41" s="9" t="s">
        <v>78</v>
      </c>
      <c r="B41" s="10">
        <v>11328577</v>
      </c>
      <c r="C41" s="10">
        <v>5396218</v>
      </c>
      <c r="D41" s="11">
        <f t="shared" si="1"/>
        <v>47.633678969565196</v>
      </c>
    </row>
    <row r="42" spans="1:4" x14ac:dyDescent="0.4">
      <c r="A42" s="9" t="s">
        <v>79</v>
      </c>
      <c r="B42" s="10">
        <v>11335297</v>
      </c>
      <c r="C42" s="10">
        <v>5386680</v>
      </c>
      <c r="D42" s="11">
        <f t="shared" si="1"/>
        <v>47.52129564845103</v>
      </c>
    </row>
    <row r="43" spans="1:4" x14ac:dyDescent="0.4">
      <c r="A43" s="9" t="s">
        <v>80</v>
      </c>
      <c r="B43" s="10">
        <v>11327512</v>
      </c>
      <c r="C43" s="10">
        <v>5358546</v>
      </c>
      <c r="D43" s="11">
        <f t="shared" si="1"/>
        <v>47.305586610722642</v>
      </c>
    </row>
    <row r="44" spans="1:4" x14ac:dyDescent="0.4">
      <c r="A44" s="9" t="s">
        <v>81</v>
      </c>
      <c r="B44" s="10">
        <v>11353517</v>
      </c>
      <c r="C44" s="10">
        <v>5356552</v>
      </c>
      <c r="D44" s="11">
        <f t="shared" si="1"/>
        <v>47.179671285998872</v>
      </c>
    </row>
    <row r="45" spans="1:4" x14ac:dyDescent="0.4">
      <c r="A45" s="9" t="s">
        <v>82</v>
      </c>
      <c r="B45" s="10">
        <v>11318742</v>
      </c>
      <c r="C45" s="10">
        <v>5337092</v>
      </c>
      <c r="D45" s="11">
        <f t="shared" si="1"/>
        <v>47.152695944478637</v>
      </c>
    </row>
    <row r="46" spans="1:4" x14ac:dyDescent="0.4">
      <c r="A46" s="9" t="s">
        <v>83</v>
      </c>
      <c r="B46" s="10">
        <v>11318588</v>
      </c>
      <c r="C46" s="10">
        <v>5324478</v>
      </c>
      <c r="D46" s="11">
        <f t="shared" si="1"/>
        <v>47.041892504612761</v>
      </c>
    </row>
    <row r="47" spans="1:4" x14ac:dyDescent="0.4">
      <c r="A47" s="9" t="s">
        <v>84</v>
      </c>
      <c r="B47" s="10">
        <v>11306294</v>
      </c>
      <c r="C47" s="10">
        <v>5296060</v>
      </c>
      <c r="D47" s="11">
        <f t="shared" si="1"/>
        <v>46.84169719980747</v>
      </c>
    </row>
    <row r="48" spans="1:4" x14ac:dyDescent="0.4">
      <c r="A48" s="9" t="s">
        <v>85</v>
      </c>
      <c r="B48" s="10">
        <v>11316775</v>
      </c>
      <c r="C48" s="10">
        <v>5285199</v>
      </c>
      <c r="D48" s="11">
        <f t="shared" si="1"/>
        <v>46.702342319256147</v>
      </c>
    </row>
    <row r="49" spans="1:4" x14ac:dyDescent="0.4">
      <c r="A49" s="9" t="s">
        <v>86</v>
      </c>
      <c r="B49" s="10">
        <v>11259263</v>
      </c>
      <c r="C49" s="10">
        <v>5248654</v>
      </c>
      <c r="D49" s="11">
        <f t="shared" si="1"/>
        <v>46.616319380762313</v>
      </c>
    </row>
    <row r="50" spans="1:4" x14ac:dyDescent="0.4">
      <c r="A50" s="9" t="s">
        <v>87</v>
      </c>
      <c r="B50" s="10">
        <v>11254007</v>
      </c>
      <c r="C50" s="10">
        <v>5232624</v>
      </c>
      <c r="D50" s="11">
        <f t="shared" si="1"/>
        <v>46.495652615108554</v>
      </c>
    </row>
    <row r="51" spans="1:4" x14ac:dyDescent="0.4">
      <c r="A51" s="9" t="s">
        <v>88</v>
      </c>
      <c r="B51" s="10">
        <v>11241637</v>
      </c>
      <c r="C51" s="10">
        <v>5201854</v>
      </c>
      <c r="D51" s="11">
        <f t="shared" si="1"/>
        <v>46.273100616929725</v>
      </c>
    </row>
    <row r="52" spans="1:4" x14ac:dyDescent="0.4">
      <c r="A52" s="9" t="s">
        <v>89</v>
      </c>
      <c r="B52" s="10">
        <v>11256108</v>
      </c>
      <c r="C52" s="10">
        <v>5195760</v>
      </c>
      <c r="D52" s="11">
        <f t="shared" si="1"/>
        <v>46.159471817434586</v>
      </c>
    </row>
    <row r="53" spans="1:4" x14ac:dyDescent="0.4">
      <c r="A53" s="9" t="s">
        <v>90</v>
      </c>
      <c r="B53" s="10">
        <v>11227569</v>
      </c>
      <c r="C53" s="10">
        <v>5176156</v>
      </c>
      <c r="D53" s="11">
        <f t="shared" si="1"/>
        <v>46.102197189792378</v>
      </c>
    </row>
    <row r="54" spans="1:4" x14ac:dyDescent="0.4">
      <c r="A54" s="9" t="s">
        <v>91</v>
      </c>
      <c r="B54" s="10">
        <v>11242726</v>
      </c>
      <c r="C54" s="10">
        <v>5176243</v>
      </c>
      <c r="D54" s="11">
        <f t="shared" si="1"/>
        <v>46.040817858586962</v>
      </c>
    </row>
    <row r="55" spans="1:4" x14ac:dyDescent="0.4">
      <c r="A55" s="9" t="s">
        <v>92</v>
      </c>
      <c r="B55" s="10">
        <v>11233123</v>
      </c>
      <c r="C55" s="10">
        <v>5150139</v>
      </c>
      <c r="D55" s="11">
        <f t="shared" si="1"/>
        <v>45.847793173812839</v>
      </c>
    </row>
    <row r="56" spans="1:4" x14ac:dyDescent="0.4">
      <c r="A56" s="9" t="s">
        <v>93</v>
      </c>
      <c r="B56" s="10">
        <v>11225962</v>
      </c>
      <c r="C56" s="10">
        <v>5127777</v>
      </c>
      <c r="D56" s="11">
        <f t="shared" si="1"/>
        <v>45.67784034900528</v>
      </c>
    </row>
    <row r="57" spans="1:4" x14ac:dyDescent="0.4">
      <c r="A57" s="9" t="s">
        <v>94</v>
      </c>
      <c r="B57" s="10">
        <v>11197395</v>
      </c>
      <c r="C57" s="10">
        <v>5108506</v>
      </c>
      <c r="D57" s="11">
        <f t="shared" si="1"/>
        <v>45.622271965934935</v>
      </c>
    </row>
    <row r="58" spans="1:4" x14ac:dyDescent="0.4">
      <c r="A58" s="9" t="s">
        <v>95</v>
      </c>
      <c r="B58" s="10">
        <v>11301501</v>
      </c>
      <c r="C58" s="10">
        <v>5165142</v>
      </c>
      <c r="D58" s="11">
        <f t="shared" si="1"/>
        <v>45.70315040453476</v>
      </c>
    </row>
    <row r="59" spans="1:4" x14ac:dyDescent="0.4">
      <c r="A59" s="9" t="s">
        <v>96</v>
      </c>
      <c r="B59" s="10">
        <v>11336302</v>
      </c>
      <c r="C59" s="10">
        <v>5167843</v>
      </c>
      <c r="D59" s="11">
        <f t="shared" si="1"/>
        <v>45.586673678947506</v>
      </c>
    </row>
    <row r="60" spans="1:4" x14ac:dyDescent="0.4">
      <c r="A60" s="9" t="s">
        <v>97</v>
      </c>
      <c r="B60" s="10">
        <v>11396181</v>
      </c>
      <c r="C60" s="10">
        <v>5184586</v>
      </c>
      <c r="D60" s="11">
        <f t="shared" si="1"/>
        <v>45.494065073203032</v>
      </c>
    </row>
    <row r="61" spans="1:4" x14ac:dyDescent="0.4">
      <c r="A61" s="9" t="s">
        <v>98</v>
      </c>
      <c r="B61" s="10">
        <v>11442584</v>
      </c>
      <c r="C61" s="10">
        <v>5200906</v>
      </c>
      <c r="D61" s="11">
        <f t="shared" si="1"/>
        <v>45.452198559346385</v>
      </c>
    </row>
    <row r="62" spans="1:4" x14ac:dyDescent="0.4">
      <c r="A62" s="9" t="s">
        <v>99</v>
      </c>
      <c r="B62" s="10">
        <v>11506349</v>
      </c>
      <c r="C62" s="10">
        <v>5229774</v>
      </c>
      <c r="D62" s="11">
        <f t="shared" si="1"/>
        <v>45.451202636040328</v>
      </c>
    </row>
    <row r="63" spans="1:4" x14ac:dyDescent="0.4">
      <c r="A63" s="9" t="s">
        <v>100</v>
      </c>
      <c r="B63" s="10">
        <v>11564806</v>
      </c>
      <c r="C63" s="10">
        <v>5247296</v>
      </c>
      <c r="D63" s="11">
        <f t="shared" si="1"/>
        <v>45.372970372352114</v>
      </c>
    </row>
    <row r="64" spans="1:4" x14ac:dyDescent="0.4">
      <c r="A64" s="9" t="s">
        <v>101</v>
      </c>
      <c r="B64" s="10">
        <v>11621039</v>
      </c>
      <c r="C64" s="10">
        <v>5263232</v>
      </c>
      <c r="D64" s="11">
        <f t="shared" si="1"/>
        <v>45.290545879761694</v>
      </c>
    </row>
    <row r="65" spans="1:4" x14ac:dyDescent="0.4">
      <c r="A65" s="9" t="s">
        <v>102</v>
      </c>
      <c r="B65" s="10">
        <v>11678283</v>
      </c>
      <c r="C65" s="10">
        <v>5289679</v>
      </c>
      <c r="D65" s="11">
        <f t="shared" si="1"/>
        <v>45.295006123759798</v>
      </c>
    </row>
    <row r="66" spans="1:4" x14ac:dyDescent="0.4">
      <c r="A66" s="9" t="s">
        <v>103</v>
      </c>
      <c r="B66" s="10">
        <v>11763117</v>
      </c>
      <c r="C66" s="10">
        <v>5332983</v>
      </c>
      <c r="D66" s="11">
        <f t="shared" si="1"/>
        <v>45.33647841809276</v>
      </c>
    </row>
    <row r="67" spans="1:4" x14ac:dyDescent="0.4">
      <c r="A67" s="9" t="s">
        <v>104</v>
      </c>
      <c r="B67" s="10">
        <v>11815482</v>
      </c>
      <c r="C67" s="10">
        <v>5347951</v>
      </c>
      <c r="D67" s="11">
        <f t="shared" si="1"/>
        <v>45.262233059980119</v>
      </c>
    </row>
    <row r="68" spans="1:4" x14ac:dyDescent="0.4">
      <c r="A68" s="9" t="s">
        <v>105</v>
      </c>
      <c r="B68" s="10">
        <v>11878836</v>
      </c>
      <c r="C68" s="10">
        <v>5371557</v>
      </c>
      <c r="D68" s="11">
        <f t="shared" si="1"/>
        <v>45.2195568656727</v>
      </c>
    </row>
    <row r="69" spans="1:4" x14ac:dyDescent="0.4">
      <c r="A69" s="9" t="s">
        <v>106</v>
      </c>
      <c r="B69" s="10">
        <v>11948443</v>
      </c>
      <c r="C69" s="10">
        <v>5411718</v>
      </c>
      <c r="D69" s="11">
        <f t="shared" ref="D69:D100" si="2">C69/B69*100</f>
        <v>45.292244353511165</v>
      </c>
    </row>
    <row r="70" spans="1:4" x14ac:dyDescent="0.4">
      <c r="A70" s="9" t="s">
        <v>107</v>
      </c>
      <c r="B70" s="10">
        <v>12038013</v>
      </c>
      <c r="C70" s="10">
        <v>5455573</v>
      </c>
      <c r="D70" s="11">
        <f t="shared" si="2"/>
        <v>45.319547337255742</v>
      </c>
    </row>
    <row r="71" spans="1:4" x14ac:dyDescent="0.4">
      <c r="A71" s="9" t="s">
        <v>108</v>
      </c>
      <c r="B71" s="10">
        <v>12092921</v>
      </c>
      <c r="C71" s="10">
        <v>5468209</v>
      </c>
      <c r="D71" s="11">
        <f t="shared" si="2"/>
        <v>45.218264470593994</v>
      </c>
    </row>
    <row r="72" spans="1:4" x14ac:dyDescent="0.4">
      <c r="A72" s="9" t="s">
        <v>109</v>
      </c>
      <c r="B72" s="10">
        <v>12171944</v>
      </c>
      <c r="C72" s="10">
        <v>5499889</v>
      </c>
      <c r="D72" s="11">
        <f t="shared" si="2"/>
        <v>45.184967988679539</v>
      </c>
    </row>
    <row r="73" spans="1:4" x14ac:dyDescent="0.4">
      <c r="A73" s="9" t="s">
        <v>110</v>
      </c>
      <c r="B73" s="10">
        <v>12235920</v>
      </c>
      <c r="C73" s="10">
        <v>5533585</v>
      </c>
      <c r="D73" s="11">
        <f t="shared" si="2"/>
        <v>45.224102478603982</v>
      </c>
    </row>
    <row r="74" spans="1:4" x14ac:dyDescent="0.4">
      <c r="A74" s="9" t="s">
        <v>111</v>
      </c>
      <c r="B74" s="10">
        <v>12341521</v>
      </c>
      <c r="C74" s="10">
        <v>5591885</v>
      </c>
      <c r="D74" s="11">
        <f t="shared" si="2"/>
        <v>45.309528703957966</v>
      </c>
    </row>
    <row r="75" spans="1:4" x14ac:dyDescent="0.4">
      <c r="A75" s="9" t="s">
        <v>112</v>
      </c>
      <c r="B75" s="10">
        <v>12400800</v>
      </c>
      <c r="C75" s="10">
        <v>5606147</v>
      </c>
      <c r="D75" s="11">
        <f t="shared" si="2"/>
        <v>45.207946261531511</v>
      </c>
    </row>
    <row r="76" spans="1:4" x14ac:dyDescent="0.4">
      <c r="A76" s="9" t="s">
        <v>113</v>
      </c>
      <c r="B76" s="10">
        <v>12482109</v>
      </c>
      <c r="C76" s="10">
        <v>5637498</v>
      </c>
      <c r="D76" s="11">
        <f t="shared" si="2"/>
        <v>45.164627227658407</v>
      </c>
    </row>
    <row r="77" spans="1:4" x14ac:dyDescent="0.4">
      <c r="A77" s="9" t="s">
        <v>114</v>
      </c>
      <c r="B77" s="10">
        <v>12531009</v>
      </c>
      <c r="C77" s="10">
        <v>5661191</v>
      </c>
      <c r="D77" s="11">
        <f t="shared" si="2"/>
        <v>45.177455382882577</v>
      </c>
    </row>
    <row r="78" spans="1:4" x14ac:dyDescent="0.4">
      <c r="A78" s="9" t="s">
        <v>115</v>
      </c>
      <c r="B78" s="10">
        <v>12633931</v>
      </c>
      <c r="C78" s="10">
        <v>5714566</v>
      </c>
      <c r="D78" s="11">
        <f t="shared" si="2"/>
        <v>45.231891799947299</v>
      </c>
    </row>
    <row r="79" spans="1:4" x14ac:dyDescent="0.4">
      <c r="A79" s="9" t="s">
        <v>116</v>
      </c>
      <c r="B79" s="10">
        <v>12688193</v>
      </c>
      <c r="C79" s="10">
        <v>5723748</v>
      </c>
      <c r="D79" s="11">
        <f t="shared" si="2"/>
        <v>45.110820744924041</v>
      </c>
    </row>
    <row r="80" spans="1:4" x14ac:dyDescent="0.4">
      <c r="A80" s="9" t="s">
        <v>117</v>
      </c>
      <c r="B80" s="10">
        <v>12790111</v>
      </c>
      <c r="C80" s="10">
        <v>5765739</v>
      </c>
      <c r="D80" s="11">
        <f t="shared" si="2"/>
        <v>45.079663499402002</v>
      </c>
    </row>
    <row r="82" spans="1:2" x14ac:dyDescent="0.4">
      <c r="A82" s="3" t="s">
        <v>128</v>
      </c>
    </row>
    <row r="83" spans="1:2" x14ac:dyDescent="0.4">
      <c r="A83" s="12" t="s">
        <v>42</v>
      </c>
      <c r="B83" s="13">
        <f>D5</f>
        <v>48.239422411442945</v>
      </c>
    </row>
    <row r="84" spans="1:2" x14ac:dyDescent="0.4">
      <c r="A84" s="12" t="s">
        <v>117</v>
      </c>
      <c r="B84" s="13">
        <f>D80</f>
        <v>45.079663499402002</v>
      </c>
    </row>
    <row r="85" spans="1:2" x14ac:dyDescent="0.4">
      <c r="A85" s="12" t="s">
        <v>129</v>
      </c>
      <c r="B85" s="14">
        <f>D5-D80</f>
        <v>3.1597589120409424</v>
      </c>
    </row>
  </sheetData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workbookViewId="0">
      <pane ySplit="3" topLeftCell="A4" activePane="bottomLeft" state="frozen"/>
      <selection pane="bottomLeft"/>
    </sheetView>
  </sheetViews>
  <sheetFormatPr defaultRowHeight="15.45" x14ac:dyDescent="0.4"/>
  <cols>
    <col min="1" max="2" width="16" customWidth="1"/>
    <col min="3" max="3" width="17.4140625" customWidth="1"/>
    <col min="4" max="5" width="13" customWidth="1"/>
    <col min="6" max="6" width="9" customWidth="1"/>
    <col min="7" max="7" width="11" customWidth="1"/>
    <col min="8" max="8" width="14" customWidth="1"/>
  </cols>
  <sheetData>
    <row r="1" spans="1:8" ht="20.149999999999999" x14ac:dyDescent="0.55000000000000004">
      <c r="A1" s="7" t="s">
        <v>130</v>
      </c>
    </row>
    <row r="2" spans="1:8" x14ac:dyDescent="0.4">
      <c r="A2" s="2" t="s">
        <v>131</v>
      </c>
    </row>
    <row r="4" spans="1:8" x14ac:dyDescent="0.4">
      <c r="A4" s="8" t="s">
        <v>132</v>
      </c>
      <c r="B4" s="8" t="s">
        <v>133</v>
      </c>
      <c r="C4" s="8" t="s">
        <v>134</v>
      </c>
      <c r="D4" s="8" t="s">
        <v>135</v>
      </c>
      <c r="E4" s="8" t="s">
        <v>136</v>
      </c>
      <c r="F4" s="8" t="s">
        <v>137</v>
      </c>
      <c r="G4" s="8" t="s">
        <v>138</v>
      </c>
      <c r="H4" s="8" t="s">
        <v>139</v>
      </c>
    </row>
    <row r="5" spans="1:8" x14ac:dyDescent="0.4">
      <c r="A5" s="9" t="s">
        <v>140</v>
      </c>
      <c r="B5" s="10">
        <v>15426588000</v>
      </c>
      <c r="C5" s="10">
        <v>12723177000</v>
      </c>
      <c r="D5" s="10">
        <v>1847622000</v>
      </c>
      <c r="E5" s="10">
        <v>1005633000</v>
      </c>
      <c r="F5" s="11">
        <f t="shared" ref="F5:F34" si="0">B5/SUM($B$5:$B$34)*100</f>
        <v>25.480420415867027</v>
      </c>
      <c r="G5" s="11">
        <f t="shared" ref="G5:G34" si="1">(1-(C5+D5)/B5)*100</f>
        <v>5.5474937166922427</v>
      </c>
      <c r="H5" s="11">
        <f t="shared" ref="H5:H34" si="2">D5/B5*100</f>
        <v>11.97686747062928</v>
      </c>
    </row>
    <row r="6" spans="1:8" x14ac:dyDescent="0.4">
      <c r="A6" s="9" t="s">
        <v>141</v>
      </c>
      <c r="B6" s="10">
        <v>14958150000</v>
      </c>
      <c r="C6" s="10">
        <v>12750762000</v>
      </c>
      <c r="D6" s="10">
        <v>1132745000</v>
      </c>
      <c r="E6" s="10">
        <v>1125747000</v>
      </c>
      <c r="F6" s="11">
        <f t="shared" si="0"/>
        <v>24.706691501944654</v>
      </c>
      <c r="G6" s="11">
        <f t="shared" si="1"/>
        <v>7.1843309500172143</v>
      </c>
      <c r="H6" s="11">
        <f t="shared" si="2"/>
        <v>7.5727613374648604</v>
      </c>
    </row>
    <row r="7" spans="1:8" x14ac:dyDescent="0.4">
      <c r="A7" s="9" t="s">
        <v>142</v>
      </c>
      <c r="B7" s="10">
        <v>8018916000</v>
      </c>
      <c r="C7" s="10">
        <v>7089765000</v>
      </c>
      <c r="D7" s="10">
        <v>994498000</v>
      </c>
      <c r="E7" s="10">
        <v>315534000</v>
      </c>
      <c r="F7" s="11">
        <f t="shared" si="0"/>
        <v>13.245012504354351</v>
      </c>
      <c r="G7" s="11">
        <f t="shared" si="1"/>
        <v>-0.81491064378278466</v>
      </c>
      <c r="H7" s="11">
        <f t="shared" si="2"/>
        <v>12.401900705781181</v>
      </c>
    </row>
    <row r="8" spans="1:8" x14ac:dyDescent="0.4">
      <c r="A8" s="15" t="s">
        <v>143</v>
      </c>
      <c r="B8" s="16">
        <v>5450815000</v>
      </c>
      <c r="C8" s="16">
        <v>4439610000</v>
      </c>
      <c r="D8" s="16">
        <v>591562000</v>
      </c>
      <c r="E8" s="16">
        <v>410729000</v>
      </c>
      <c r="F8" s="17">
        <f t="shared" si="0"/>
        <v>9.0032259764190403</v>
      </c>
      <c r="G8" s="17">
        <f t="shared" si="1"/>
        <v>7.6987202831136248</v>
      </c>
      <c r="H8" s="17">
        <f t="shared" si="2"/>
        <v>10.852725693313753</v>
      </c>
    </row>
    <row r="9" spans="1:8" x14ac:dyDescent="0.4">
      <c r="A9" s="9" t="s">
        <v>144</v>
      </c>
      <c r="B9" s="10">
        <v>4316787000</v>
      </c>
      <c r="C9" s="10">
        <v>3577051000</v>
      </c>
      <c r="D9" s="10">
        <v>621227000</v>
      </c>
      <c r="E9" s="10">
        <v>128984000</v>
      </c>
      <c r="F9" s="11">
        <f t="shared" si="0"/>
        <v>7.1301280364620734</v>
      </c>
      <c r="G9" s="11">
        <f t="shared" si="1"/>
        <v>2.7453057100107148</v>
      </c>
      <c r="H9" s="11">
        <f t="shared" si="2"/>
        <v>14.390957904571156</v>
      </c>
    </row>
    <row r="10" spans="1:8" x14ac:dyDescent="0.4">
      <c r="A10" s="9" t="s">
        <v>145</v>
      </c>
      <c r="B10" s="10">
        <v>1966133000</v>
      </c>
      <c r="C10" s="10">
        <v>1763020000</v>
      </c>
      <c r="D10" s="10">
        <v>208586000</v>
      </c>
      <c r="E10" s="10">
        <v>73516000</v>
      </c>
      <c r="F10" s="11">
        <f t="shared" si="0"/>
        <v>3.2475032997257647</v>
      </c>
      <c r="G10" s="11">
        <f t="shared" si="1"/>
        <v>-0.27836367122671124</v>
      </c>
      <c r="H10" s="11">
        <f t="shared" si="2"/>
        <v>10.608946597203751</v>
      </c>
    </row>
    <row r="11" spans="1:8" x14ac:dyDescent="0.4">
      <c r="A11" s="9" t="s">
        <v>146</v>
      </c>
      <c r="B11" s="10">
        <v>1388374000</v>
      </c>
      <c r="C11" s="10">
        <v>1135409000</v>
      </c>
      <c r="D11" s="10">
        <v>175060000</v>
      </c>
      <c r="E11" s="10">
        <v>83132000</v>
      </c>
      <c r="F11" s="11">
        <f t="shared" si="0"/>
        <v>2.293206586865415</v>
      </c>
      <c r="G11" s="11">
        <f t="shared" si="1"/>
        <v>5.611240198966561</v>
      </c>
      <c r="H11" s="11">
        <f t="shared" si="2"/>
        <v>12.608994406406342</v>
      </c>
    </row>
    <row r="12" spans="1:8" x14ac:dyDescent="0.4">
      <c r="A12" s="9" t="s">
        <v>147</v>
      </c>
      <c r="B12" s="10">
        <v>1366379000</v>
      </c>
      <c r="C12" s="10">
        <v>1161669000</v>
      </c>
      <c r="D12" s="10">
        <v>181285000</v>
      </c>
      <c r="E12" s="10">
        <v>125383000</v>
      </c>
      <c r="F12" s="11">
        <f t="shared" si="0"/>
        <v>2.25687698196205</v>
      </c>
      <c r="G12" s="11">
        <f t="shared" si="1"/>
        <v>1.7143852474313492</v>
      </c>
      <c r="H12" s="11">
        <f t="shared" si="2"/>
        <v>13.267548754774481</v>
      </c>
    </row>
    <row r="13" spans="1:8" x14ac:dyDescent="0.4">
      <c r="A13" s="9" t="s">
        <v>148</v>
      </c>
      <c r="B13" s="10">
        <v>1282515000</v>
      </c>
      <c r="C13" s="10">
        <v>1043220000</v>
      </c>
      <c r="D13" s="10">
        <v>233528000</v>
      </c>
      <c r="E13" s="10">
        <v>74473000</v>
      </c>
      <c r="F13" s="11">
        <f t="shared" si="0"/>
        <v>2.1183570462668544</v>
      </c>
      <c r="G13" s="11">
        <f t="shared" si="1"/>
        <v>0.44966335676386304</v>
      </c>
      <c r="H13" s="11">
        <f t="shared" si="2"/>
        <v>18.20859795012144</v>
      </c>
    </row>
    <row r="14" spans="1:8" x14ac:dyDescent="0.4">
      <c r="A14" s="9" t="s">
        <v>149</v>
      </c>
      <c r="B14" s="10">
        <v>1140424000</v>
      </c>
      <c r="C14" s="10">
        <v>991633000</v>
      </c>
      <c r="D14" s="10">
        <v>118383000</v>
      </c>
      <c r="E14" s="10">
        <v>89672000</v>
      </c>
      <c r="F14" s="11">
        <f t="shared" si="0"/>
        <v>1.8836623479115886</v>
      </c>
      <c r="G14" s="11">
        <f t="shared" si="1"/>
        <v>2.6663767160284291</v>
      </c>
      <c r="H14" s="11">
        <f t="shared" si="2"/>
        <v>10.380612824703794</v>
      </c>
    </row>
    <row r="15" spans="1:8" x14ac:dyDescent="0.4">
      <c r="A15" s="9" t="s">
        <v>150</v>
      </c>
      <c r="B15" s="10">
        <v>585275000</v>
      </c>
      <c r="C15" s="10">
        <v>484558000</v>
      </c>
      <c r="D15" s="10">
        <v>73167000</v>
      </c>
      <c r="E15" s="10">
        <v>46923000</v>
      </c>
      <c r="F15" s="11">
        <f t="shared" si="0"/>
        <v>0.96671104841177935</v>
      </c>
      <c r="G15" s="11">
        <f t="shared" si="1"/>
        <v>4.70718892828158</v>
      </c>
      <c r="H15" s="11">
        <f t="shared" si="2"/>
        <v>12.501302806373072</v>
      </c>
    </row>
    <row r="16" spans="1:8" x14ac:dyDescent="0.4">
      <c r="A16" s="9" t="s">
        <v>151</v>
      </c>
      <c r="B16" s="10">
        <v>515794000</v>
      </c>
      <c r="C16" s="10">
        <v>484654000</v>
      </c>
      <c r="D16" s="10">
        <v>36750000</v>
      </c>
      <c r="E16" s="10">
        <v>7106000</v>
      </c>
      <c r="F16" s="11">
        <f t="shared" si="0"/>
        <v>0.85194781684593612</v>
      </c>
      <c r="G16" s="11">
        <f t="shared" si="1"/>
        <v>-1.0876435165977139</v>
      </c>
      <c r="H16" s="11">
        <f t="shared" si="2"/>
        <v>7.1249374750384842</v>
      </c>
    </row>
    <row r="17" spans="1:8" x14ac:dyDescent="0.4">
      <c r="A17" s="9" t="s">
        <v>152</v>
      </c>
      <c r="B17" s="10">
        <v>456947000</v>
      </c>
      <c r="C17" s="10">
        <v>371202000</v>
      </c>
      <c r="D17" s="10">
        <v>74078000</v>
      </c>
      <c r="E17" s="10">
        <v>31854000</v>
      </c>
      <c r="F17" s="11">
        <f t="shared" si="0"/>
        <v>0.7547489871233477</v>
      </c>
      <c r="G17" s="11">
        <f t="shared" si="1"/>
        <v>2.5532501581146172</v>
      </c>
      <c r="H17" s="11">
        <f t="shared" si="2"/>
        <v>16.211508118009309</v>
      </c>
    </row>
    <row r="18" spans="1:8" x14ac:dyDescent="0.4">
      <c r="A18" s="9" t="s">
        <v>153</v>
      </c>
      <c r="B18" s="10">
        <v>443318000</v>
      </c>
      <c r="C18" s="10">
        <v>371465000</v>
      </c>
      <c r="D18" s="10">
        <v>59787000</v>
      </c>
      <c r="E18" s="10">
        <v>20873000</v>
      </c>
      <c r="F18" s="11">
        <f t="shared" si="0"/>
        <v>0.73223768067970307</v>
      </c>
      <c r="G18" s="11">
        <f t="shared" si="1"/>
        <v>2.7217482709928298</v>
      </c>
      <c r="H18" s="11">
        <f t="shared" si="2"/>
        <v>13.486255915618134</v>
      </c>
    </row>
    <row r="19" spans="1:8" x14ac:dyDescent="0.4">
      <c r="A19" s="9" t="s">
        <v>154</v>
      </c>
      <c r="B19" s="10">
        <v>433579000</v>
      </c>
      <c r="C19" s="10">
        <v>363583000</v>
      </c>
      <c r="D19" s="10">
        <v>78356000</v>
      </c>
      <c r="E19" s="10">
        <v>-149000</v>
      </c>
      <c r="F19" s="11">
        <f t="shared" si="0"/>
        <v>0.71615156919282541</v>
      </c>
      <c r="G19" s="11">
        <f t="shared" si="1"/>
        <v>-1.9281376634938452</v>
      </c>
      <c r="H19" s="11">
        <f t="shared" si="2"/>
        <v>18.071908464201449</v>
      </c>
    </row>
    <row r="20" spans="1:8" x14ac:dyDescent="0.4">
      <c r="A20" s="9" t="s">
        <v>155</v>
      </c>
      <c r="B20" s="10">
        <v>429095000</v>
      </c>
      <c r="C20" s="10">
        <v>368177000</v>
      </c>
      <c r="D20" s="10">
        <v>48773000</v>
      </c>
      <c r="E20" s="10">
        <v>41162000</v>
      </c>
      <c r="F20" s="11">
        <f t="shared" si="0"/>
        <v>0.7087452519213232</v>
      </c>
      <c r="G20" s="11">
        <f t="shared" si="1"/>
        <v>2.8303755578601431</v>
      </c>
      <c r="H20" s="11">
        <f t="shared" si="2"/>
        <v>11.366480616180565</v>
      </c>
    </row>
    <row r="21" spans="1:8" x14ac:dyDescent="0.4">
      <c r="A21" s="9" t="s">
        <v>156</v>
      </c>
      <c r="B21" s="10">
        <v>408720000</v>
      </c>
      <c r="C21" s="10">
        <v>338794000</v>
      </c>
      <c r="D21" s="10">
        <v>57471000</v>
      </c>
      <c r="E21" s="10">
        <v>19845000</v>
      </c>
      <c r="F21" s="11">
        <f t="shared" si="0"/>
        <v>0.67509143514905379</v>
      </c>
      <c r="G21" s="11">
        <f t="shared" si="1"/>
        <v>3.0473184576238044</v>
      </c>
      <c r="H21" s="11">
        <f t="shared" si="2"/>
        <v>14.061215502055196</v>
      </c>
    </row>
    <row r="22" spans="1:8" x14ac:dyDescent="0.4">
      <c r="A22" s="9" t="s">
        <v>157</v>
      </c>
      <c r="B22" s="10">
        <v>365672000</v>
      </c>
      <c r="C22" s="10">
        <v>297143000</v>
      </c>
      <c r="D22" s="10">
        <v>59912000</v>
      </c>
      <c r="E22" s="10">
        <v>29100000</v>
      </c>
      <c r="F22" s="11">
        <f t="shared" si="0"/>
        <v>0.60398814658892352</v>
      </c>
      <c r="G22" s="11">
        <f t="shared" si="1"/>
        <v>2.3564834058938056</v>
      </c>
      <c r="H22" s="11">
        <f t="shared" si="2"/>
        <v>16.384081909470783</v>
      </c>
    </row>
    <row r="23" spans="1:8" x14ac:dyDescent="0.4">
      <c r="A23" s="9" t="s">
        <v>158</v>
      </c>
      <c r="B23" s="10">
        <v>322038000</v>
      </c>
      <c r="C23" s="10">
        <v>263315000</v>
      </c>
      <c r="D23" s="10">
        <v>45203000</v>
      </c>
      <c r="E23" s="10">
        <v>28702000</v>
      </c>
      <c r="F23" s="11">
        <f t="shared" si="0"/>
        <v>0.5319169494826067</v>
      </c>
      <c r="G23" s="11">
        <f t="shared" si="1"/>
        <v>4.1982623168694388</v>
      </c>
      <c r="H23" s="11">
        <f t="shared" si="2"/>
        <v>14.036542271408964</v>
      </c>
    </row>
    <row r="24" spans="1:8" x14ac:dyDescent="0.4">
      <c r="A24" s="9" t="s">
        <v>159</v>
      </c>
      <c r="B24" s="10">
        <v>255143000</v>
      </c>
      <c r="C24" s="10">
        <v>213768000</v>
      </c>
      <c r="D24" s="10">
        <v>26961000</v>
      </c>
      <c r="E24" s="10">
        <v>40297000</v>
      </c>
      <c r="F24" s="11">
        <f t="shared" si="0"/>
        <v>0.42142506860010531</v>
      </c>
      <c r="G24" s="11">
        <f t="shared" si="1"/>
        <v>5.6493809353970086</v>
      </c>
      <c r="H24" s="11">
        <f t="shared" si="2"/>
        <v>10.567015360013796</v>
      </c>
    </row>
    <row r="25" spans="1:8" x14ac:dyDescent="0.4">
      <c r="A25" s="9" t="s">
        <v>160</v>
      </c>
      <c r="B25" s="10">
        <v>248612000</v>
      </c>
      <c r="C25" s="10">
        <v>221991000</v>
      </c>
      <c r="D25" s="10">
        <v>27460000</v>
      </c>
      <c r="E25" s="10">
        <v>5535000</v>
      </c>
      <c r="F25" s="11">
        <f t="shared" si="0"/>
        <v>0.41063767830122472</v>
      </c>
      <c r="G25" s="11">
        <f t="shared" si="1"/>
        <v>-0.337473653725473</v>
      </c>
      <c r="H25" s="11">
        <f t="shared" si="2"/>
        <v>11.045323636831689</v>
      </c>
    </row>
    <row r="26" spans="1:8" x14ac:dyDescent="0.4">
      <c r="A26" s="9" t="s">
        <v>161</v>
      </c>
      <c r="B26" s="10">
        <v>169821000</v>
      </c>
      <c r="C26" s="10">
        <v>135292000</v>
      </c>
      <c r="D26" s="10">
        <v>14127000</v>
      </c>
      <c r="E26" s="10">
        <v>25644000</v>
      </c>
      <c r="F26" s="11">
        <f t="shared" si="0"/>
        <v>0.28049692358692374</v>
      </c>
      <c r="G26" s="11">
        <f t="shared" si="1"/>
        <v>12.013826323010701</v>
      </c>
      <c r="H26" s="11">
        <f t="shared" si="2"/>
        <v>8.3187591640609817</v>
      </c>
    </row>
    <row r="27" spans="1:8" x14ac:dyDescent="0.4">
      <c r="A27" s="9" t="s">
        <v>162</v>
      </c>
      <c r="B27" s="10">
        <v>163859000</v>
      </c>
      <c r="C27" s="10">
        <v>133291000</v>
      </c>
      <c r="D27" s="10">
        <v>16812000</v>
      </c>
      <c r="E27" s="10">
        <v>16256000</v>
      </c>
      <c r="F27" s="11">
        <f t="shared" si="0"/>
        <v>0.27064936257606381</v>
      </c>
      <c r="G27" s="11">
        <f t="shared" si="1"/>
        <v>8.3950225498751969</v>
      </c>
      <c r="H27" s="11">
        <f t="shared" si="2"/>
        <v>10.260040644700627</v>
      </c>
    </row>
    <row r="28" spans="1:8" x14ac:dyDescent="0.4">
      <c r="A28" s="9" t="s">
        <v>163</v>
      </c>
      <c r="B28" s="10">
        <v>139702000</v>
      </c>
      <c r="C28" s="10">
        <v>116120000</v>
      </c>
      <c r="D28" s="10">
        <v>14754000</v>
      </c>
      <c r="E28" s="10">
        <v>14034000</v>
      </c>
      <c r="F28" s="11">
        <f t="shared" si="0"/>
        <v>0.23074873672243373</v>
      </c>
      <c r="G28" s="11">
        <f t="shared" si="1"/>
        <v>6.3191650799559014</v>
      </c>
      <c r="H28" s="11">
        <f t="shared" si="2"/>
        <v>10.561051380796266</v>
      </c>
    </row>
    <row r="29" spans="1:8" x14ac:dyDescent="0.4">
      <c r="A29" s="9" t="s">
        <v>164</v>
      </c>
      <c r="B29" s="10">
        <v>89867000</v>
      </c>
      <c r="C29" s="10">
        <v>67542000</v>
      </c>
      <c r="D29" s="10">
        <v>9600000</v>
      </c>
      <c r="E29" s="10">
        <v>10816000</v>
      </c>
      <c r="F29" s="11">
        <f t="shared" si="0"/>
        <v>0.14843521726986694</v>
      </c>
      <c r="G29" s="11">
        <f t="shared" si="1"/>
        <v>14.159813947277645</v>
      </c>
      <c r="H29" s="11">
        <f t="shared" si="2"/>
        <v>10.682452958260541</v>
      </c>
    </row>
    <row r="30" spans="1:8" x14ac:dyDescent="0.4">
      <c r="A30" s="9" t="s">
        <v>165</v>
      </c>
      <c r="B30" s="10">
        <v>63629000</v>
      </c>
      <c r="C30" s="10">
        <v>52503000</v>
      </c>
      <c r="D30" s="10">
        <v>8809000</v>
      </c>
      <c r="E30" s="10">
        <v>5508000</v>
      </c>
      <c r="F30" s="11">
        <f t="shared" si="0"/>
        <v>0.10509735987252677</v>
      </c>
      <c r="G30" s="11">
        <f t="shared" si="1"/>
        <v>3.6414213644721749</v>
      </c>
      <c r="H30" s="11">
        <f t="shared" si="2"/>
        <v>13.844316270882773</v>
      </c>
    </row>
    <row r="31" spans="1:8" x14ac:dyDescent="0.4">
      <c r="A31" s="9" t="s">
        <v>166</v>
      </c>
      <c r="B31" s="10">
        <v>60814000</v>
      </c>
      <c r="C31" s="10">
        <v>49551000</v>
      </c>
      <c r="D31" s="10">
        <v>8775000</v>
      </c>
      <c r="E31" s="10">
        <v>7729000</v>
      </c>
      <c r="F31" s="11">
        <f t="shared" si="0"/>
        <v>0.10044776506448071</v>
      </c>
      <c r="G31" s="11">
        <f t="shared" si="1"/>
        <v>4.0911632189956304</v>
      </c>
      <c r="H31" s="11">
        <f t="shared" si="2"/>
        <v>14.429243266353142</v>
      </c>
    </row>
    <row r="32" spans="1:8" x14ac:dyDescent="0.4">
      <c r="A32" s="9" t="s">
        <v>167</v>
      </c>
      <c r="B32" s="10">
        <v>38840000</v>
      </c>
      <c r="C32" s="10">
        <v>30496000</v>
      </c>
      <c r="D32" s="10">
        <v>7838000</v>
      </c>
      <c r="E32" s="10">
        <v>1833000</v>
      </c>
      <c r="F32" s="11">
        <f t="shared" si="0"/>
        <v>6.4152846303555611E-2</v>
      </c>
      <c r="G32" s="11">
        <f t="shared" si="1"/>
        <v>1.3027806385169982</v>
      </c>
      <c r="H32" s="11">
        <f t="shared" si="2"/>
        <v>20.180226570545827</v>
      </c>
    </row>
    <row r="33" spans="1:8" x14ac:dyDescent="0.4">
      <c r="A33" s="9" t="s">
        <v>168</v>
      </c>
      <c r="B33" s="10">
        <v>28060000</v>
      </c>
      <c r="C33" s="10">
        <v>21561000</v>
      </c>
      <c r="D33" s="10">
        <v>6179000</v>
      </c>
      <c r="E33" s="10">
        <v>1584000</v>
      </c>
      <c r="F33" s="11">
        <f t="shared" si="0"/>
        <v>4.6347293184288631E-2</v>
      </c>
      <c r="G33" s="11">
        <f t="shared" si="1"/>
        <v>1.1404133998574428</v>
      </c>
      <c r="H33" s="11">
        <f t="shared" si="2"/>
        <v>22.020669992872417</v>
      </c>
    </row>
    <row r="34" spans="1:8" x14ac:dyDescent="0.4">
      <c r="A34" s="9" t="s">
        <v>169</v>
      </c>
      <c r="B34" s="10">
        <v>9044000</v>
      </c>
      <c r="C34" s="10">
        <v>7335000</v>
      </c>
      <c r="D34" s="10">
        <v>4700000</v>
      </c>
      <c r="E34" s="10">
        <v>7591000</v>
      </c>
      <c r="F34" s="11">
        <f t="shared" si="0"/>
        <v>1.4938165344216192E-2</v>
      </c>
      <c r="G34" s="11">
        <f t="shared" si="1"/>
        <v>-33.071649712516596</v>
      </c>
      <c r="H34" s="11">
        <f t="shared" si="2"/>
        <v>51.968155683325968</v>
      </c>
    </row>
    <row r="36" spans="1:8" x14ac:dyDescent="0.4">
      <c r="A36" s="12" t="s">
        <v>170</v>
      </c>
      <c r="B36" s="18">
        <f>SUM(B5:B34)</f>
        <v>60542910000</v>
      </c>
      <c r="D36" s="12" t="s">
        <v>171</v>
      </c>
      <c r="E36" s="19">
        <f>COUNTA(A5:A34)</f>
        <v>30</v>
      </c>
    </row>
    <row r="37" spans="1:8" x14ac:dyDescent="0.4">
      <c r="A37" s="2" t="s">
        <v>172</v>
      </c>
    </row>
  </sheetData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87"/>
  <sheetViews>
    <sheetView workbookViewId="0">
      <pane ySplit="3" topLeftCell="A157" activePane="bottomLeft" state="frozen"/>
      <selection pane="bottomLeft"/>
    </sheetView>
  </sheetViews>
  <sheetFormatPr defaultRowHeight="15.45" x14ac:dyDescent="0.4"/>
  <cols>
    <col min="1" max="1" width="10" customWidth="1"/>
    <col min="2" max="2" width="11" customWidth="1"/>
    <col min="3" max="3" width="13" customWidth="1"/>
    <col min="4" max="5" width="11" customWidth="1"/>
  </cols>
  <sheetData>
    <row r="1" spans="1:5" ht="20.149999999999999" x14ac:dyDescent="0.55000000000000004">
      <c r="A1" s="7" t="s">
        <v>173</v>
      </c>
    </row>
    <row r="2" spans="1:5" x14ac:dyDescent="0.4">
      <c r="A2" s="2" t="s">
        <v>174</v>
      </c>
    </row>
    <row r="4" spans="1:5" x14ac:dyDescent="0.4">
      <c r="A4" s="8" t="s">
        <v>175</v>
      </c>
      <c r="B4" s="8" t="s">
        <v>176</v>
      </c>
      <c r="C4" s="8" t="s">
        <v>177</v>
      </c>
      <c r="D4" s="8" t="s">
        <v>178</v>
      </c>
      <c r="E4" s="8" t="s">
        <v>179</v>
      </c>
    </row>
    <row r="5" spans="1:5" x14ac:dyDescent="0.4">
      <c r="A5" s="9" t="s">
        <v>180</v>
      </c>
      <c r="B5" s="20">
        <v>1.35</v>
      </c>
      <c r="C5" s="10">
        <v>4424.6000000000004</v>
      </c>
      <c r="D5" s="21">
        <f t="shared" ref="D5:D36" si="0">B5/$B$5*100</f>
        <v>100</v>
      </c>
      <c r="E5" s="21">
        <f t="shared" ref="E5:E36" si="1">C5/$C$5*100</f>
        <v>100</v>
      </c>
    </row>
    <row r="6" spans="1:5" x14ac:dyDescent="0.4">
      <c r="A6" s="9" t="s">
        <v>181</v>
      </c>
      <c r="B6" s="20">
        <v>1.38</v>
      </c>
      <c r="C6" s="10">
        <v>4296.5</v>
      </c>
      <c r="D6" s="21">
        <f t="shared" si="0"/>
        <v>102.22222222222221</v>
      </c>
      <c r="E6" s="21">
        <f t="shared" si="1"/>
        <v>97.104823034850597</v>
      </c>
    </row>
    <row r="7" spans="1:5" x14ac:dyDescent="0.4">
      <c r="A7" s="9" t="s">
        <v>182</v>
      </c>
      <c r="B7" s="20">
        <v>1.365</v>
      </c>
      <c r="C7" s="10">
        <v>4008.6</v>
      </c>
      <c r="D7" s="21">
        <f t="shared" si="0"/>
        <v>101.11111111111111</v>
      </c>
      <c r="E7" s="21">
        <f t="shared" si="1"/>
        <v>90.598020160014457</v>
      </c>
    </row>
    <row r="8" spans="1:5" x14ac:dyDescent="0.4">
      <c r="A8" s="9" t="s">
        <v>183</v>
      </c>
      <c r="B8" s="20">
        <v>1.5</v>
      </c>
      <c r="C8" s="10">
        <v>4298.1000000000004</v>
      </c>
      <c r="D8" s="21">
        <f t="shared" si="0"/>
        <v>111.1111111111111</v>
      </c>
      <c r="E8" s="21">
        <f t="shared" si="1"/>
        <v>97.140984495773637</v>
      </c>
    </row>
    <row r="9" spans="1:5" x14ac:dyDescent="0.4">
      <c r="A9" s="9" t="s">
        <v>184</v>
      </c>
      <c r="B9" s="20">
        <v>1.5249999999999999</v>
      </c>
      <c r="C9" s="10">
        <v>4119.8</v>
      </c>
      <c r="D9" s="21">
        <f t="shared" si="0"/>
        <v>112.96296296296295</v>
      </c>
      <c r="E9" s="21">
        <f t="shared" si="1"/>
        <v>93.111241694164434</v>
      </c>
    </row>
    <row r="10" spans="1:5" x14ac:dyDescent="0.4">
      <c r="A10" s="9" t="s">
        <v>185</v>
      </c>
      <c r="B10" s="20">
        <v>1.5</v>
      </c>
      <c r="C10" s="10">
        <v>4056.6</v>
      </c>
      <c r="D10" s="21">
        <f t="shared" si="0"/>
        <v>111.1111111111111</v>
      </c>
      <c r="E10" s="21">
        <f t="shared" si="1"/>
        <v>91.682863987705105</v>
      </c>
    </row>
    <row r="11" spans="1:5" x14ac:dyDescent="0.4">
      <c r="A11" s="9" t="s">
        <v>186</v>
      </c>
      <c r="B11" s="20">
        <v>1.46</v>
      </c>
      <c r="C11" s="10">
        <v>4262.7</v>
      </c>
      <c r="D11" s="21">
        <f t="shared" si="0"/>
        <v>108.14814814814815</v>
      </c>
      <c r="E11" s="21">
        <f t="shared" si="1"/>
        <v>96.340912172851773</v>
      </c>
    </row>
    <row r="12" spans="1:5" x14ac:dyDescent="0.4">
      <c r="A12" s="9" t="s">
        <v>187</v>
      </c>
      <c r="B12" s="20">
        <v>1.47</v>
      </c>
      <c r="C12" s="10">
        <v>4298.5</v>
      </c>
      <c r="D12" s="21">
        <f t="shared" si="0"/>
        <v>108.88888888888889</v>
      </c>
      <c r="E12" s="21">
        <f t="shared" si="1"/>
        <v>97.150024861004383</v>
      </c>
    </row>
    <row r="13" spans="1:5" x14ac:dyDescent="0.4">
      <c r="A13" s="9" t="s">
        <v>188</v>
      </c>
      <c r="B13" s="20">
        <v>1.4850000000000001</v>
      </c>
      <c r="C13" s="10">
        <v>4335.2</v>
      </c>
      <c r="D13" s="21">
        <f t="shared" si="0"/>
        <v>110.00000000000001</v>
      </c>
      <c r="E13" s="21">
        <f t="shared" si="1"/>
        <v>97.979478370926174</v>
      </c>
    </row>
    <row r="14" spans="1:5" x14ac:dyDescent="0.4">
      <c r="A14" s="9" t="s">
        <v>189</v>
      </c>
      <c r="B14" s="20">
        <v>1.64</v>
      </c>
      <c r="C14" s="10">
        <v>4396.6000000000004</v>
      </c>
      <c r="D14" s="21">
        <f t="shared" si="0"/>
        <v>121.48148148148145</v>
      </c>
      <c r="E14" s="21">
        <f t="shared" si="1"/>
        <v>99.367174433847126</v>
      </c>
    </row>
    <row r="15" spans="1:5" x14ac:dyDescent="0.4">
      <c r="A15" s="9" t="s">
        <v>190</v>
      </c>
      <c r="B15" s="20">
        <v>1.5649999999999999</v>
      </c>
      <c r="C15" s="10">
        <v>4076.3</v>
      </c>
      <c r="D15" s="21">
        <f t="shared" si="0"/>
        <v>115.92592592592592</v>
      </c>
      <c r="E15" s="21">
        <f t="shared" si="1"/>
        <v>92.128101975319794</v>
      </c>
    </row>
    <row r="16" spans="1:5" x14ac:dyDescent="0.4">
      <c r="A16" s="9" t="s">
        <v>191</v>
      </c>
      <c r="B16" s="20">
        <v>1.4950000000000001</v>
      </c>
      <c r="C16" s="10">
        <v>4094.6</v>
      </c>
      <c r="D16" s="21">
        <f t="shared" si="0"/>
        <v>110.74074074074073</v>
      </c>
      <c r="E16" s="21">
        <f t="shared" si="1"/>
        <v>92.541698684626851</v>
      </c>
    </row>
    <row r="17" spans="1:5" x14ac:dyDescent="0.4">
      <c r="A17" s="9" t="s">
        <v>192</v>
      </c>
      <c r="B17" s="20">
        <v>1.57</v>
      </c>
      <c r="C17" s="10">
        <v>4269.2</v>
      </c>
      <c r="D17" s="21">
        <f t="shared" si="0"/>
        <v>116.2962962962963</v>
      </c>
      <c r="E17" s="21">
        <f t="shared" si="1"/>
        <v>96.487818107851538</v>
      </c>
    </row>
    <row r="18" spans="1:5" x14ac:dyDescent="0.4">
      <c r="A18" s="9" t="s">
        <v>193</v>
      </c>
      <c r="B18" s="20">
        <v>1.645</v>
      </c>
      <c r="C18" s="10">
        <v>4316.1000000000004</v>
      </c>
      <c r="D18" s="21">
        <f t="shared" si="0"/>
        <v>121.85185185185186</v>
      </c>
      <c r="E18" s="21">
        <f t="shared" si="1"/>
        <v>97.547800931157624</v>
      </c>
    </row>
    <row r="19" spans="1:5" x14ac:dyDescent="0.4">
      <c r="A19" s="9" t="s">
        <v>194</v>
      </c>
      <c r="B19" s="20">
        <v>1.7</v>
      </c>
      <c r="C19" s="10">
        <v>4387</v>
      </c>
      <c r="D19" s="21">
        <f t="shared" si="0"/>
        <v>125.92592592592591</v>
      </c>
      <c r="E19" s="21">
        <f t="shared" si="1"/>
        <v>99.150205668308985</v>
      </c>
    </row>
    <row r="20" spans="1:5" x14ac:dyDescent="0.4">
      <c r="A20" s="9" t="s">
        <v>195</v>
      </c>
      <c r="B20" s="20">
        <v>1.81</v>
      </c>
      <c r="C20" s="10">
        <v>4517</v>
      </c>
      <c r="D20" s="21">
        <f t="shared" si="0"/>
        <v>134.07407407407408</v>
      </c>
      <c r="E20" s="21">
        <f t="shared" si="1"/>
        <v>102.08832436830446</v>
      </c>
    </row>
    <row r="21" spans="1:5" x14ac:dyDescent="0.4">
      <c r="A21" s="9" t="s">
        <v>196</v>
      </c>
      <c r="B21" s="20">
        <v>2.02</v>
      </c>
      <c r="C21" s="10">
        <v>4506</v>
      </c>
      <c r="D21" s="21">
        <f t="shared" si="0"/>
        <v>149.62962962962962</v>
      </c>
      <c r="E21" s="21">
        <f t="shared" si="1"/>
        <v>101.83971432445871</v>
      </c>
    </row>
    <row r="22" spans="1:5" x14ac:dyDescent="0.4">
      <c r="A22" s="9" t="s">
        <v>197</v>
      </c>
      <c r="B22" s="20">
        <v>2.0099999999999998</v>
      </c>
      <c r="C22" s="10">
        <v>4649</v>
      </c>
      <c r="D22" s="21">
        <f t="shared" si="0"/>
        <v>148.88888888888886</v>
      </c>
      <c r="E22" s="21">
        <f t="shared" si="1"/>
        <v>105.07164489445373</v>
      </c>
    </row>
    <row r="23" spans="1:5" x14ac:dyDescent="0.4">
      <c r="A23" s="9" t="s">
        <v>198</v>
      </c>
      <c r="B23" s="20">
        <v>2.19</v>
      </c>
      <c r="C23" s="10">
        <v>4878.8</v>
      </c>
      <c r="D23" s="21">
        <f t="shared" si="0"/>
        <v>162.2222222222222</v>
      </c>
      <c r="E23" s="21">
        <f t="shared" si="1"/>
        <v>110.26533471952267</v>
      </c>
    </row>
    <row r="24" spans="1:5" x14ac:dyDescent="0.4">
      <c r="A24" s="9" t="s">
        <v>199</v>
      </c>
      <c r="B24" s="20">
        <v>2.21</v>
      </c>
      <c r="C24" s="10">
        <v>5104.1000000000004</v>
      </c>
      <c r="D24" s="21">
        <f t="shared" si="0"/>
        <v>163.7037037037037</v>
      </c>
      <c r="E24" s="21">
        <f t="shared" si="1"/>
        <v>115.35732043574561</v>
      </c>
    </row>
    <row r="25" spans="1:5" x14ac:dyDescent="0.4">
      <c r="A25" s="9" t="s">
        <v>200</v>
      </c>
      <c r="B25" s="20">
        <v>2.27</v>
      </c>
      <c r="C25" s="10">
        <v>4966.5</v>
      </c>
      <c r="D25" s="21">
        <f t="shared" si="0"/>
        <v>168.14814814814812</v>
      </c>
      <c r="E25" s="21">
        <f t="shared" si="1"/>
        <v>112.24743479636577</v>
      </c>
    </row>
    <row r="26" spans="1:5" x14ac:dyDescent="0.4">
      <c r="A26" s="9" t="s">
        <v>201</v>
      </c>
      <c r="B26" s="20">
        <v>2.35</v>
      </c>
      <c r="C26" s="10">
        <v>5191.2</v>
      </c>
      <c r="D26" s="21">
        <f t="shared" si="0"/>
        <v>174.07407407407408</v>
      </c>
      <c r="E26" s="21">
        <f t="shared" si="1"/>
        <v>117.32585996474256</v>
      </c>
    </row>
    <row r="27" spans="1:5" x14ac:dyDescent="0.4">
      <c r="A27" s="9" t="s">
        <v>202</v>
      </c>
      <c r="B27" s="20">
        <v>2.2599999999999998</v>
      </c>
      <c r="C27" s="10">
        <v>4926.6000000000004</v>
      </c>
      <c r="D27" s="21">
        <f t="shared" si="0"/>
        <v>167.40740740740739</v>
      </c>
      <c r="E27" s="21">
        <f t="shared" si="1"/>
        <v>111.34565836459794</v>
      </c>
    </row>
    <row r="28" spans="1:5" x14ac:dyDescent="0.4">
      <c r="A28" s="9" t="s">
        <v>203</v>
      </c>
      <c r="B28" s="20">
        <v>2.13</v>
      </c>
      <c r="C28" s="10">
        <v>4802.6000000000004</v>
      </c>
      <c r="D28" s="21">
        <f t="shared" si="0"/>
        <v>157.77777777777774</v>
      </c>
      <c r="E28" s="21">
        <f t="shared" si="1"/>
        <v>108.54314514306378</v>
      </c>
    </row>
    <row r="29" spans="1:5" x14ac:dyDescent="0.4">
      <c r="A29" s="9" t="s">
        <v>204</v>
      </c>
      <c r="B29" s="20">
        <v>2.23</v>
      </c>
      <c r="C29" s="10">
        <v>5052</v>
      </c>
      <c r="D29" s="21">
        <f t="shared" si="0"/>
        <v>165.18518518518516</v>
      </c>
      <c r="E29" s="21">
        <f t="shared" si="1"/>
        <v>114.17981286443973</v>
      </c>
    </row>
    <row r="30" spans="1:5" x14ac:dyDescent="0.4">
      <c r="A30" s="9" t="s">
        <v>205</v>
      </c>
      <c r="B30" s="20">
        <v>2.13</v>
      </c>
      <c r="C30" s="10">
        <v>5135</v>
      </c>
      <c r="D30" s="21">
        <f t="shared" si="0"/>
        <v>157.77777777777774</v>
      </c>
      <c r="E30" s="21">
        <f t="shared" si="1"/>
        <v>116.05568864982145</v>
      </c>
    </row>
    <row r="31" spans="1:5" x14ac:dyDescent="0.4">
      <c r="A31" s="9" t="s">
        <v>206</v>
      </c>
      <c r="B31" s="20">
        <v>2.17</v>
      </c>
      <c r="C31" s="10">
        <v>5218.8999999999996</v>
      </c>
      <c r="D31" s="21">
        <f t="shared" si="0"/>
        <v>160.7407407407407</v>
      </c>
      <c r="E31" s="21">
        <f t="shared" si="1"/>
        <v>117.95190525697237</v>
      </c>
    </row>
    <row r="32" spans="1:5" x14ac:dyDescent="0.4">
      <c r="A32" s="9" t="s">
        <v>207</v>
      </c>
      <c r="B32" s="20">
        <v>2.4</v>
      </c>
      <c r="C32" s="10">
        <v>5425.5</v>
      </c>
      <c r="D32" s="21">
        <f t="shared" si="0"/>
        <v>177.77777777777777</v>
      </c>
      <c r="E32" s="21">
        <f t="shared" si="1"/>
        <v>122.6212538986575</v>
      </c>
    </row>
    <row r="33" spans="1:5" x14ac:dyDescent="0.4">
      <c r="A33" s="9" t="s">
        <v>208</v>
      </c>
      <c r="B33" s="20">
        <v>2.4500000000000002</v>
      </c>
      <c r="C33" s="10">
        <v>5320.1</v>
      </c>
      <c r="D33" s="21">
        <f t="shared" si="0"/>
        <v>181.4814814814815</v>
      </c>
      <c r="E33" s="21">
        <f t="shared" si="1"/>
        <v>120.23911766035347</v>
      </c>
    </row>
    <row r="34" spans="1:5" x14ac:dyDescent="0.4">
      <c r="A34" s="9" t="s">
        <v>209</v>
      </c>
      <c r="B34" s="20">
        <v>2.73</v>
      </c>
      <c r="C34" s="10">
        <v>5352.2</v>
      </c>
      <c r="D34" s="21">
        <f t="shared" si="0"/>
        <v>202.22222222222223</v>
      </c>
      <c r="E34" s="21">
        <f t="shared" si="1"/>
        <v>120.96460697012157</v>
      </c>
    </row>
    <row r="35" spans="1:5" x14ac:dyDescent="0.4">
      <c r="A35" s="9" t="s">
        <v>210</v>
      </c>
      <c r="B35" s="20">
        <v>2.5299999999999998</v>
      </c>
      <c r="C35" s="10">
        <v>5190</v>
      </c>
      <c r="D35" s="21">
        <f t="shared" si="0"/>
        <v>187.40740740740739</v>
      </c>
      <c r="E35" s="21">
        <f t="shared" si="1"/>
        <v>117.29873886905028</v>
      </c>
    </row>
    <row r="36" spans="1:5" x14ac:dyDescent="0.4">
      <c r="A36" s="9" t="s">
        <v>211</v>
      </c>
      <c r="B36" s="20">
        <v>2.6</v>
      </c>
      <c r="C36" s="10">
        <v>5404.8</v>
      </c>
      <c r="D36" s="21">
        <f t="shared" si="0"/>
        <v>192.59259259259258</v>
      </c>
      <c r="E36" s="21">
        <f t="shared" si="1"/>
        <v>122.15341499796591</v>
      </c>
    </row>
    <row r="37" spans="1:5" x14ac:dyDescent="0.4">
      <c r="A37" s="9" t="s">
        <v>212</v>
      </c>
      <c r="B37" s="20">
        <v>2.8</v>
      </c>
      <c r="C37" s="10">
        <v>5394.8</v>
      </c>
      <c r="D37" s="21">
        <f t="shared" ref="D37:D68" si="2">B37/$B$5*100</f>
        <v>207.40740740740739</v>
      </c>
      <c r="E37" s="21">
        <f t="shared" ref="E37:E68" si="3">C37/$C$5*100</f>
        <v>121.92740586719704</v>
      </c>
    </row>
    <row r="38" spans="1:5" x14ac:dyDescent="0.4">
      <c r="A38" s="9" t="s">
        <v>213</v>
      </c>
      <c r="B38" s="20">
        <v>2.75</v>
      </c>
      <c r="C38" s="10">
        <v>5489.1</v>
      </c>
      <c r="D38" s="21">
        <f t="shared" si="2"/>
        <v>203.70370370370367</v>
      </c>
      <c r="E38" s="21">
        <f t="shared" si="3"/>
        <v>124.05867197034759</v>
      </c>
    </row>
    <row r="39" spans="1:5" x14ac:dyDescent="0.4">
      <c r="A39" s="9" t="s">
        <v>214</v>
      </c>
      <c r="B39" s="20">
        <v>3.14</v>
      </c>
      <c r="C39" s="10">
        <v>5492.5</v>
      </c>
      <c r="D39" s="21">
        <f t="shared" si="2"/>
        <v>232.59259259259261</v>
      </c>
      <c r="E39" s="21">
        <f t="shared" si="3"/>
        <v>124.13551507480902</v>
      </c>
    </row>
    <row r="40" spans="1:5" x14ac:dyDescent="0.4">
      <c r="A40" s="9" t="s">
        <v>215</v>
      </c>
      <c r="B40" s="20">
        <v>3.26</v>
      </c>
      <c r="C40" s="10">
        <v>5395.7</v>
      </c>
      <c r="D40" s="21">
        <f t="shared" si="2"/>
        <v>241.48148148148147</v>
      </c>
      <c r="E40" s="21">
        <f t="shared" si="3"/>
        <v>121.94774668896622</v>
      </c>
    </row>
    <row r="41" spans="1:5" x14ac:dyDescent="0.4">
      <c r="A41" s="9" t="s">
        <v>216</v>
      </c>
      <c r="B41" s="20">
        <v>3.25</v>
      </c>
      <c r="C41" s="10">
        <v>5632.9</v>
      </c>
      <c r="D41" s="21">
        <f t="shared" si="2"/>
        <v>240.74074074074073</v>
      </c>
      <c r="E41" s="21">
        <f t="shared" si="3"/>
        <v>127.30868327080411</v>
      </c>
    </row>
    <row r="42" spans="1:5" x14ac:dyDescent="0.4">
      <c r="A42" s="9" t="s">
        <v>217</v>
      </c>
      <c r="B42" s="20">
        <v>3.39</v>
      </c>
      <c r="C42" s="10">
        <v>5625.9</v>
      </c>
      <c r="D42" s="21">
        <f t="shared" si="2"/>
        <v>251.11111111111111</v>
      </c>
      <c r="E42" s="21">
        <f t="shared" si="3"/>
        <v>127.15047687926591</v>
      </c>
    </row>
    <row r="43" spans="1:5" x14ac:dyDescent="0.4">
      <c r="A43" s="9" t="s">
        <v>218</v>
      </c>
      <c r="B43" s="20">
        <v>2.91</v>
      </c>
      <c r="C43" s="10">
        <v>5292.8</v>
      </c>
      <c r="D43" s="21">
        <f t="shared" si="2"/>
        <v>215.55555555555554</v>
      </c>
      <c r="E43" s="21">
        <f t="shared" si="3"/>
        <v>119.62211273335441</v>
      </c>
    </row>
    <row r="44" spans="1:5" x14ac:dyDescent="0.4">
      <c r="A44" s="9" t="s">
        <v>219</v>
      </c>
      <c r="B44" s="20">
        <v>3.27</v>
      </c>
      <c r="C44" s="10">
        <v>5526.6</v>
      </c>
      <c r="D44" s="21">
        <f t="shared" si="2"/>
        <v>242.2222222222222</v>
      </c>
      <c r="E44" s="21">
        <f t="shared" si="3"/>
        <v>124.90620621073091</v>
      </c>
    </row>
    <row r="45" spans="1:5" x14ac:dyDescent="0.4">
      <c r="A45" s="9" t="s">
        <v>220</v>
      </c>
      <c r="B45" s="20">
        <v>3.19</v>
      </c>
      <c r="C45" s="10">
        <v>5313</v>
      </c>
      <c r="D45" s="21">
        <f t="shared" si="2"/>
        <v>236.29629629629628</v>
      </c>
      <c r="E45" s="21">
        <f t="shared" si="3"/>
        <v>120.07865117750755</v>
      </c>
    </row>
    <row r="46" spans="1:5" x14ac:dyDescent="0.4">
      <c r="A46" s="9" t="s">
        <v>221</v>
      </c>
      <c r="B46" s="20">
        <v>3.14</v>
      </c>
      <c r="C46" s="10">
        <v>5411</v>
      </c>
      <c r="D46" s="21">
        <f t="shared" si="2"/>
        <v>232.59259259259261</v>
      </c>
      <c r="E46" s="21">
        <f t="shared" si="3"/>
        <v>122.29354065904261</v>
      </c>
    </row>
    <row r="47" spans="1:5" x14ac:dyDescent="0.4">
      <c r="A47" s="9" t="s">
        <v>222</v>
      </c>
      <c r="B47" s="20">
        <v>3.31</v>
      </c>
      <c r="C47" s="10">
        <v>5588.3</v>
      </c>
      <c r="D47" s="21">
        <f t="shared" si="2"/>
        <v>245.18518518518516</v>
      </c>
      <c r="E47" s="21">
        <f t="shared" si="3"/>
        <v>126.30068254757492</v>
      </c>
    </row>
    <row r="48" spans="1:5" x14ac:dyDescent="0.4">
      <c r="A48" s="9" t="s">
        <v>223</v>
      </c>
      <c r="B48" s="20">
        <v>3.73</v>
      </c>
      <c r="C48" s="10">
        <v>5928.8</v>
      </c>
      <c r="D48" s="21">
        <f t="shared" si="2"/>
        <v>276.29629629629625</v>
      </c>
      <c r="E48" s="21">
        <f t="shared" si="3"/>
        <v>133.99629345025539</v>
      </c>
    </row>
    <row r="49" spans="1:5" x14ac:dyDescent="0.4">
      <c r="A49" s="9" t="s">
        <v>224</v>
      </c>
      <c r="B49" s="20">
        <v>3.7</v>
      </c>
      <c r="C49" s="10">
        <v>5891.5</v>
      </c>
      <c r="D49" s="21">
        <f t="shared" si="2"/>
        <v>274.07407407407402</v>
      </c>
      <c r="E49" s="21">
        <f t="shared" si="3"/>
        <v>133.15327939248743</v>
      </c>
    </row>
    <row r="50" spans="1:5" x14ac:dyDescent="0.4">
      <c r="A50" s="9" t="s">
        <v>225</v>
      </c>
      <c r="B50" s="20">
        <v>3.65</v>
      </c>
      <c r="C50" s="10">
        <v>5790</v>
      </c>
      <c r="D50" s="21">
        <f t="shared" si="2"/>
        <v>270.37037037037032</v>
      </c>
      <c r="E50" s="21">
        <f t="shared" si="3"/>
        <v>130.85928671518329</v>
      </c>
    </row>
    <row r="51" spans="1:5" x14ac:dyDescent="0.4">
      <c r="A51" s="9" t="s">
        <v>226</v>
      </c>
      <c r="B51" s="20">
        <v>3.68</v>
      </c>
      <c r="C51" s="10">
        <v>5777.2</v>
      </c>
      <c r="D51" s="21">
        <f t="shared" si="2"/>
        <v>272.59259259259261</v>
      </c>
      <c r="E51" s="21">
        <f t="shared" si="3"/>
        <v>130.56999502779911</v>
      </c>
    </row>
    <row r="52" spans="1:5" x14ac:dyDescent="0.4">
      <c r="A52" s="9" t="s">
        <v>227</v>
      </c>
      <c r="B52" s="20">
        <v>3.36</v>
      </c>
      <c r="C52" s="10">
        <v>5459</v>
      </c>
      <c r="D52" s="21">
        <f t="shared" si="2"/>
        <v>248.88888888888886</v>
      </c>
      <c r="E52" s="21">
        <f t="shared" si="3"/>
        <v>123.37838448673327</v>
      </c>
    </row>
    <row r="53" spans="1:5" x14ac:dyDescent="0.4">
      <c r="A53" s="9" t="s">
        <v>228</v>
      </c>
      <c r="B53" s="20">
        <v>3.56</v>
      </c>
      <c r="C53" s="10">
        <v>5699.2</v>
      </c>
      <c r="D53" s="21">
        <f t="shared" si="2"/>
        <v>263.7037037037037</v>
      </c>
      <c r="E53" s="21">
        <f t="shared" si="3"/>
        <v>128.80712380780182</v>
      </c>
    </row>
    <row r="54" spans="1:5" x14ac:dyDescent="0.4">
      <c r="A54" s="9" t="s">
        <v>229</v>
      </c>
      <c r="B54" s="20">
        <v>3.05</v>
      </c>
      <c r="C54" s="10">
        <v>5207</v>
      </c>
      <c r="D54" s="21">
        <f t="shared" si="2"/>
        <v>225.9259259259259</v>
      </c>
      <c r="E54" s="21">
        <f t="shared" si="3"/>
        <v>117.68295439135741</v>
      </c>
    </row>
    <row r="55" spans="1:5" x14ac:dyDescent="0.4">
      <c r="A55" s="9" t="s">
        <v>230</v>
      </c>
      <c r="B55" s="20">
        <v>3.27</v>
      </c>
      <c r="C55" s="10">
        <v>5021.6000000000004</v>
      </c>
      <c r="D55" s="21">
        <f t="shared" si="2"/>
        <v>242.2222222222222</v>
      </c>
      <c r="E55" s="21">
        <f t="shared" si="3"/>
        <v>113.49274510690233</v>
      </c>
    </row>
    <row r="56" spans="1:5" x14ac:dyDescent="0.4">
      <c r="A56" s="9" t="s">
        <v>231</v>
      </c>
      <c r="B56" s="20">
        <v>3.61</v>
      </c>
      <c r="C56" s="10">
        <v>5239.3999999999996</v>
      </c>
      <c r="D56" s="21">
        <f t="shared" si="2"/>
        <v>267.40740740740733</v>
      </c>
      <c r="E56" s="21">
        <f t="shared" si="3"/>
        <v>118.41522397504858</v>
      </c>
    </row>
    <row r="57" spans="1:5" x14ac:dyDescent="0.4">
      <c r="A57" s="9" t="s">
        <v>232</v>
      </c>
      <c r="B57" s="20">
        <v>3.82</v>
      </c>
      <c r="C57" s="10">
        <v>5166.5</v>
      </c>
      <c r="D57" s="21">
        <f t="shared" si="2"/>
        <v>282.96296296296293</v>
      </c>
      <c r="E57" s="21">
        <f t="shared" si="3"/>
        <v>116.76761741174342</v>
      </c>
    </row>
    <row r="58" spans="1:5" x14ac:dyDescent="0.4">
      <c r="A58" s="9" t="s">
        <v>233</v>
      </c>
      <c r="B58" s="20">
        <v>3.51</v>
      </c>
      <c r="C58" s="10">
        <v>5295.9</v>
      </c>
      <c r="D58" s="21">
        <f t="shared" si="2"/>
        <v>259.99999999999994</v>
      </c>
      <c r="E58" s="21">
        <f t="shared" si="3"/>
        <v>119.69217556389276</v>
      </c>
    </row>
    <row r="59" spans="1:5" x14ac:dyDescent="0.4">
      <c r="A59" s="9" t="s">
        <v>234</v>
      </c>
      <c r="B59" s="20">
        <v>3.58</v>
      </c>
      <c r="C59" s="10">
        <v>5005.5</v>
      </c>
      <c r="D59" s="21">
        <f t="shared" si="2"/>
        <v>265.18518518518522</v>
      </c>
      <c r="E59" s="21">
        <f t="shared" si="3"/>
        <v>113.12887040636441</v>
      </c>
    </row>
    <row r="60" spans="1:5" x14ac:dyDescent="0.4">
      <c r="A60" s="9" t="s">
        <v>235</v>
      </c>
      <c r="B60" s="20">
        <v>3.6</v>
      </c>
      <c r="C60" s="10">
        <v>4880.8999999999996</v>
      </c>
      <c r="D60" s="21">
        <f t="shared" si="2"/>
        <v>266.66666666666663</v>
      </c>
      <c r="E60" s="21">
        <f t="shared" si="3"/>
        <v>110.31279663698412</v>
      </c>
    </row>
    <row r="61" spans="1:5" x14ac:dyDescent="0.4">
      <c r="A61" s="9" t="s">
        <v>236</v>
      </c>
      <c r="B61" s="20">
        <v>3.91</v>
      </c>
      <c r="C61" s="10">
        <v>5082.8</v>
      </c>
      <c r="D61" s="21">
        <f t="shared" si="2"/>
        <v>289.62962962962962</v>
      </c>
      <c r="E61" s="21">
        <f t="shared" si="3"/>
        <v>114.87592098720786</v>
      </c>
    </row>
    <row r="62" spans="1:5" x14ac:dyDescent="0.4">
      <c r="A62" s="9" t="s">
        <v>237</v>
      </c>
      <c r="B62" s="20">
        <v>4.5599999999999996</v>
      </c>
      <c r="C62" s="10">
        <v>5252.2</v>
      </c>
      <c r="D62" s="21">
        <f t="shared" si="2"/>
        <v>337.77777777777771</v>
      </c>
      <c r="E62" s="21">
        <f t="shared" si="3"/>
        <v>118.70451566243274</v>
      </c>
    </row>
    <row r="63" spans="1:5" x14ac:dyDescent="0.4">
      <c r="A63" s="9" t="s">
        <v>238</v>
      </c>
      <c r="B63" s="20">
        <v>4.6100000000000003</v>
      </c>
      <c r="C63" s="10">
        <v>5378.6</v>
      </c>
      <c r="D63" s="21">
        <f t="shared" si="2"/>
        <v>341.48148148148152</v>
      </c>
      <c r="E63" s="21">
        <f t="shared" si="3"/>
        <v>121.56127107535144</v>
      </c>
    </row>
    <row r="64" spans="1:5" x14ac:dyDescent="0.4">
      <c r="A64" s="9" t="s">
        <v>239</v>
      </c>
      <c r="B64" s="20">
        <v>4.22</v>
      </c>
      <c r="C64" s="10">
        <v>5233.3999999999996</v>
      </c>
      <c r="D64" s="21">
        <f t="shared" si="2"/>
        <v>312.59259259259255</v>
      </c>
      <c r="E64" s="21">
        <f t="shared" si="3"/>
        <v>118.27961849658723</v>
      </c>
    </row>
    <row r="65" spans="1:5" x14ac:dyDescent="0.4">
      <c r="A65" s="9" t="s">
        <v>240</v>
      </c>
      <c r="B65" s="20">
        <v>4.63</v>
      </c>
      <c r="C65" s="10">
        <v>5562.3</v>
      </c>
      <c r="D65" s="21">
        <f t="shared" si="2"/>
        <v>342.96296296296293</v>
      </c>
      <c r="E65" s="21">
        <f t="shared" si="3"/>
        <v>125.71305880757582</v>
      </c>
    </row>
    <row r="66" spans="1:5" x14ac:dyDescent="0.4">
      <c r="A66" s="9" t="s">
        <v>241</v>
      </c>
      <c r="B66" s="20">
        <v>4.46</v>
      </c>
      <c r="C66" s="10">
        <v>5433</v>
      </c>
      <c r="D66" s="21">
        <f t="shared" si="2"/>
        <v>330.37037037037032</v>
      </c>
      <c r="E66" s="21">
        <f t="shared" si="3"/>
        <v>122.79076074673416</v>
      </c>
    </row>
    <row r="67" spans="1:5" x14ac:dyDescent="0.4">
      <c r="A67" s="9" t="s">
        <v>242</v>
      </c>
      <c r="B67" s="20">
        <v>4.68</v>
      </c>
      <c r="C67" s="10">
        <v>5435.9</v>
      </c>
      <c r="D67" s="21">
        <f t="shared" si="2"/>
        <v>346.66666666666663</v>
      </c>
      <c r="E67" s="21">
        <f t="shared" si="3"/>
        <v>122.85630339465712</v>
      </c>
    </row>
    <row r="68" spans="1:5" x14ac:dyDescent="0.4">
      <c r="A68" s="9" t="s">
        <v>243</v>
      </c>
      <c r="B68" s="20">
        <v>4.82</v>
      </c>
      <c r="C68" s="10">
        <v>5317.7</v>
      </c>
      <c r="D68" s="21">
        <f t="shared" si="2"/>
        <v>357.03703703703707</v>
      </c>
      <c r="E68" s="21">
        <f t="shared" si="3"/>
        <v>120.18487546896893</v>
      </c>
    </row>
    <row r="69" spans="1:5" x14ac:dyDescent="0.4">
      <c r="A69" s="9" t="s">
        <v>244</v>
      </c>
      <c r="B69" s="20">
        <v>4.87</v>
      </c>
      <c r="C69" s="10">
        <v>5440.5</v>
      </c>
      <c r="D69" s="21">
        <f t="shared" ref="D69:D100" si="4">B69/$B$5*100</f>
        <v>360.7407407407407</v>
      </c>
      <c r="E69" s="21">
        <f t="shared" ref="E69:E100" si="5">C69/$C$5*100</f>
        <v>122.96026759481083</v>
      </c>
    </row>
    <row r="70" spans="1:5" x14ac:dyDescent="0.4">
      <c r="A70" s="9" t="s">
        <v>245</v>
      </c>
      <c r="B70" s="20">
        <v>4.75</v>
      </c>
      <c r="C70" s="10">
        <v>5665.8</v>
      </c>
      <c r="D70" s="21">
        <f t="shared" si="4"/>
        <v>351.85185185185179</v>
      </c>
      <c r="E70" s="21">
        <f t="shared" si="5"/>
        <v>128.05225331103375</v>
      </c>
    </row>
    <row r="71" spans="1:5" x14ac:dyDescent="0.4">
      <c r="A71" s="9" t="s">
        <v>246</v>
      </c>
      <c r="B71" s="20">
        <v>4.6100000000000003</v>
      </c>
      <c r="C71" s="10">
        <v>5620.9</v>
      </c>
      <c r="D71" s="21">
        <f t="shared" si="4"/>
        <v>341.48148148148152</v>
      </c>
      <c r="E71" s="21">
        <f t="shared" si="5"/>
        <v>127.03747231388147</v>
      </c>
    </row>
    <row r="72" spans="1:5" x14ac:dyDescent="0.4">
      <c r="A72" s="9" t="s">
        <v>247</v>
      </c>
      <c r="B72" s="20">
        <v>5.33</v>
      </c>
      <c r="C72" s="10">
        <v>5712.2</v>
      </c>
      <c r="D72" s="21">
        <f t="shared" si="4"/>
        <v>394.81481481481478</v>
      </c>
      <c r="E72" s="21">
        <f t="shared" si="5"/>
        <v>129.10093567780137</v>
      </c>
    </row>
    <row r="73" spans="1:5" x14ac:dyDescent="0.4">
      <c r="A73" s="9" t="s">
        <v>248</v>
      </c>
      <c r="B73" s="20">
        <v>5.92</v>
      </c>
      <c r="C73" s="10">
        <v>5864.9</v>
      </c>
      <c r="D73" s="21">
        <f t="shared" si="4"/>
        <v>438.51851851851842</v>
      </c>
      <c r="E73" s="21">
        <f t="shared" si="5"/>
        <v>132.55209510464221</v>
      </c>
    </row>
    <row r="74" spans="1:5" x14ac:dyDescent="0.4">
      <c r="A74" s="9" t="s">
        <v>249</v>
      </c>
      <c r="B74" s="20">
        <v>6</v>
      </c>
      <c r="C74" s="10">
        <v>5924.1</v>
      </c>
      <c r="D74" s="21">
        <f t="shared" si="4"/>
        <v>444.4444444444444</v>
      </c>
      <c r="E74" s="21">
        <f t="shared" si="5"/>
        <v>133.89006915879403</v>
      </c>
    </row>
    <row r="75" spans="1:5" x14ac:dyDescent="0.4">
      <c r="A75" s="9" t="s">
        <v>250</v>
      </c>
      <c r="B75" s="20">
        <v>5.42</v>
      </c>
      <c r="C75" s="10">
        <v>5724.6</v>
      </c>
      <c r="D75" s="21">
        <f t="shared" si="4"/>
        <v>401.48148148148141</v>
      </c>
      <c r="E75" s="21">
        <f t="shared" si="5"/>
        <v>129.38118699995479</v>
      </c>
    </row>
    <row r="76" spans="1:5" x14ac:dyDescent="0.4">
      <c r="A76" s="9" t="s">
        <v>251</v>
      </c>
      <c r="B76" s="20">
        <v>5.75</v>
      </c>
      <c r="C76" s="10">
        <v>5721.5</v>
      </c>
      <c r="D76" s="21">
        <f t="shared" si="4"/>
        <v>425.92592592592587</v>
      </c>
      <c r="E76" s="21">
        <f t="shared" si="5"/>
        <v>129.31112416941644</v>
      </c>
    </row>
    <row r="77" spans="1:5" x14ac:dyDescent="0.4">
      <c r="A77" s="9" t="s">
        <v>252</v>
      </c>
      <c r="B77" s="20">
        <v>5.74</v>
      </c>
      <c r="C77" s="10">
        <v>5720.6</v>
      </c>
      <c r="D77" s="21">
        <f t="shared" si="4"/>
        <v>425.18518518518516</v>
      </c>
      <c r="E77" s="21">
        <f t="shared" si="5"/>
        <v>129.29078334764725</v>
      </c>
    </row>
    <row r="78" spans="1:5" x14ac:dyDescent="0.4">
      <c r="A78" s="9" t="s">
        <v>253</v>
      </c>
      <c r="B78" s="20">
        <v>5.91</v>
      </c>
      <c r="C78" s="10">
        <v>5714.5</v>
      </c>
      <c r="D78" s="21">
        <f t="shared" si="4"/>
        <v>437.77777777777771</v>
      </c>
      <c r="E78" s="21">
        <f t="shared" si="5"/>
        <v>129.1529177778782</v>
      </c>
    </row>
    <row r="79" spans="1:5" x14ac:dyDescent="0.4">
      <c r="A79" s="9" t="s">
        <v>254</v>
      </c>
      <c r="B79" s="20">
        <v>5.74</v>
      </c>
      <c r="C79" s="10">
        <v>5681.6</v>
      </c>
      <c r="D79" s="21">
        <f t="shared" si="4"/>
        <v>425.18518518518516</v>
      </c>
      <c r="E79" s="21">
        <f t="shared" si="5"/>
        <v>128.4093477376486</v>
      </c>
    </row>
    <row r="80" spans="1:5" x14ac:dyDescent="0.4">
      <c r="A80" s="9" t="s">
        <v>255</v>
      </c>
      <c r="B80" s="20">
        <v>6.3</v>
      </c>
      <c r="C80" s="10">
        <v>5909</v>
      </c>
      <c r="D80" s="21">
        <f t="shared" si="4"/>
        <v>466.66666666666663</v>
      </c>
      <c r="E80" s="21">
        <f t="shared" si="5"/>
        <v>133.548795371333</v>
      </c>
    </row>
    <row r="81" spans="1:5" x14ac:dyDescent="0.4">
      <c r="A81" s="9" t="s">
        <v>256</v>
      </c>
      <c r="B81" s="20">
        <v>6.76</v>
      </c>
      <c r="C81" s="10">
        <v>5969.9</v>
      </c>
      <c r="D81" s="21">
        <f t="shared" si="4"/>
        <v>500.7407407407407</v>
      </c>
      <c r="E81" s="21">
        <f t="shared" si="5"/>
        <v>134.92519097771546</v>
      </c>
    </row>
    <row r="82" spans="1:5" x14ac:dyDescent="0.4">
      <c r="A82" s="9" t="s">
        <v>257</v>
      </c>
      <c r="B82" s="20">
        <v>6.76</v>
      </c>
      <c r="C82" s="10">
        <v>6065.1</v>
      </c>
      <c r="D82" s="21">
        <f t="shared" si="4"/>
        <v>500.7407407407407</v>
      </c>
      <c r="E82" s="21">
        <f t="shared" si="5"/>
        <v>137.07679790263526</v>
      </c>
    </row>
    <row r="83" spans="1:5" x14ac:dyDescent="0.4">
      <c r="A83" s="9" t="s">
        <v>258</v>
      </c>
      <c r="B83" s="20">
        <v>6.71</v>
      </c>
      <c r="C83" s="10">
        <v>6037.7</v>
      </c>
      <c r="D83" s="21">
        <f t="shared" si="4"/>
        <v>497.03703703703701</v>
      </c>
      <c r="E83" s="21">
        <f t="shared" si="5"/>
        <v>136.45753288432851</v>
      </c>
    </row>
    <row r="84" spans="1:5" x14ac:dyDescent="0.4">
      <c r="A84" s="9" t="s">
        <v>259</v>
      </c>
      <c r="B84" s="20">
        <v>7.04</v>
      </c>
      <c r="C84" s="10">
        <v>6016</v>
      </c>
      <c r="D84" s="21">
        <f t="shared" si="4"/>
        <v>521.48148148148141</v>
      </c>
      <c r="E84" s="21">
        <f t="shared" si="5"/>
        <v>135.96709307056003</v>
      </c>
    </row>
    <row r="85" spans="1:5" x14ac:dyDescent="0.4">
      <c r="A85" s="9" t="s">
        <v>260</v>
      </c>
      <c r="B85" s="20">
        <v>6.38</v>
      </c>
      <c r="C85" s="10">
        <v>5759.4</v>
      </c>
      <c r="D85" s="21">
        <f t="shared" si="4"/>
        <v>472.59259259259255</v>
      </c>
      <c r="E85" s="21">
        <f t="shared" si="5"/>
        <v>130.16769877503049</v>
      </c>
    </row>
    <row r="86" spans="1:5" x14ac:dyDescent="0.4">
      <c r="A86" s="9" t="s">
        <v>261</v>
      </c>
      <c r="B86" s="20">
        <v>5.57</v>
      </c>
      <c r="C86" s="10">
        <v>5982.7</v>
      </c>
      <c r="D86" s="21">
        <f t="shared" si="4"/>
        <v>412.59259259259255</v>
      </c>
      <c r="E86" s="21">
        <f t="shared" si="5"/>
        <v>135.21448266509967</v>
      </c>
    </row>
    <row r="87" spans="1:5" x14ac:dyDescent="0.4">
      <c r="A87" s="9" t="s">
        <v>262</v>
      </c>
      <c r="B87" s="20">
        <v>5.47</v>
      </c>
      <c r="C87" s="10">
        <v>6011.9</v>
      </c>
      <c r="D87" s="21">
        <f t="shared" si="4"/>
        <v>405.18518518518516</v>
      </c>
      <c r="E87" s="21">
        <f t="shared" si="5"/>
        <v>135.87442932694478</v>
      </c>
    </row>
    <row r="88" spans="1:5" x14ac:dyDescent="0.4">
      <c r="A88" s="9" t="s">
        <v>263</v>
      </c>
      <c r="B88" s="20">
        <v>5.73</v>
      </c>
      <c r="C88" s="10">
        <v>6194.6</v>
      </c>
      <c r="D88" s="21">
        <f t="shared" si="4"/>
        <v>424.44444444444446</v>
      </c>
      <c r="E88" s="21">
        <f t="shared" si="5"/>
        <v>140.0036161460923</v>
      </c>
    </row>
    <row r="89" spans="1:5" x14ac:dyDescent="0.4">
      <c r="A89" s="9" t="s">
        <v>264</v>
      </c>
      <c r="B89" s="20">
        <v>5.64</v>
      </c>
      <c r="C89" s="10">
        <v>6280.2</v>
      </c>
      <c r="D89" s="21">
        <f t="shared" si="4"/>
        <v>417.77777777777771</v>
      </c>
      <c r="E89" s="21">
        <f t="shared" si="5"/>
        <v>141.93825430547392</v>
      </c>
    </row>
    <row r="90" spans="1:5" x14ac:dyDescent="0.4">
      <c r="A90" s="9" t="s">
        <v>265</v>
      </c>
      <c r="B90" s="20">
        <v>6.52</v>
      </c>
      <c r="C90" s="10">
        <v>6319.5</v>
      </c>
      <c r="D90" s="21">
        <f t="shared" si="4"/>
        <v>482.96296296296293</v>
      </c>
      <c r="E90" s="21">
        <f t="shared" si="5"/>
        <v>142.82647018939565</v>
      </c>
    </row>
    <row r="91" spans="1:5" x14ac:dyDescent="0.4">
      <c r="A91" s="9" t="s">
        <v>266</v>
      </c>
      <c r="B91" s="20">
        <v>5.85</v>
      </c>
      <c r="C91" s="10">
        <v>6207.6</v>
      </c>
      <c r="D91" s="21">
        <f t="shared" si="4"/>
        <v>433.33333333333331</v>
      </c>
      <c r="E91" s="21">
        <f t="shared" si="5"/>
        <v>140.29742801609183</v>
      </c>
    </row>
    <row r="92" spans="1:5" x14ac:dyDescent="0.4">
      <c r="A92" s="9" t="s">
        <v>267</v>
      </c>
      <c r="B92" s="20">
        <v>5.54</v>
      </c>
      <c r="C92" s="10">
        <v>5830.3</v>
      </c>
      <c r="D92" s="21">
        <f t="shared" si="4"/>
        <v>410.37037037037038</v>
      </c>
      <c r="E92" s="21">
        <f t="shared" si="5"/>
        <v>131.77010351218189</v>
      </c>
    </row>
    <row r="93" spans="1:5" x14ac:dyDescent="0.4">
      <c r="A93" s="9" t="s">
        <v>268</v>
      </c>
      <c r="B93" s="20">
        <v>4.96</v>
      </c>
      <c r="C93" s="10">
        <v>5667.2</v>
      </c>
      <c r="D93" s="21">
        <f t="shared" si="4"/>
        <v>367.40740740740733</v>
      </c>
      <c r="E93" s="21">
        <f t="shared" si="5"/>
        <v>128.08389458934138</v>
      </c>
    </row>
    <row r="94" spans="1:5" x14ac:dyDescent="0.4">
      <c r="A94" s="9" t="s">
        <v>269</v>
      </c>
      <c r="B94" s="20">
        <v>5.2</v>
      </c>
      <c r="C94" s="10">
        <v>5646.4</v>
      </c>
      <c r="D94" s="21">
        <f t="shared" si="4"/>
        <v>385.18518518518516</v>
      </c>
      <c r="E94" s="21">
        <f t="shared" si="5"/>
        <v>127.61379559734212</v>
      </c>
    </row>
    <row r="95" spans="1:5" x14ac:dyDescent="0.4">
      <c r="A95" s="9" t="s">
        <v>270</v>
      </c>
      <c r="B95" s="20">
        <v>5.34</v>
      </c>
      <c r="C95" s="10">
        <v>5864.7</v>
      </c>
      <c r="D95" s="21">
        <f t="shared" si="4"/>
        <v>395.55555555555554</v>
      </c>
      <c r="E95" s="21">
        <f t="shared" si="5"/>
        <v>132.54757492202685</v>
      </c>
    </row>
    <row r="96" spans="1:5" x14ac:dyDescent="0.4">
      <c r="A96" s="9" t="s">
        <v>271</v>
      </c>
      <c r="B96" s="20">
        <v>5.77</v>
      </c>
      <c r="C96" s="10">
        <v>6169</v>
      </c>
      <c r="D96" s="21">
        <f t="shared" si="4"/>
        <v>427.40740740740739</v>
      </c>
      <c r="E96" s="21">
        <f t="shared" si="5"/>
        <v>139.42503277132394</v>
      </c>
    </row>
    <row r="97" spans="1:5" x14ac:dyDescent="0.4">
      <c r="A97" s="9" t="s">
        <v>272</v>
      </c>
      <c r="B97" s="20">
        <v>5.24</v>
      </c>
      <c r="C97" s="10">
        <v>6180.7</v>
      </c>
      <c r="D97" s="21">
        <f t="shared" si="4"/>
        <v>388.14814814814815</v>
      </c>
      <c r="E97" s="21">
        <f t="shared" si="5"/>
        <v>139.68946345432354</v>
      </c>
    </row>
    <row r="98" spans="1:5" x14ac:dyDescent="0.4">
      <c r="A98" s="9" t="s">
        <v>273</v>
      </c>
      <c r="B98" s="20">
        <v>5.75</v>
      </c>
      <c r="C98" s="10">
        <v>6325.5</v>
      </c>
      <c r="D98" s="21">
        <f t="shared" si="4"/>
        <v>425.92592592592587</v>
      </c>
      <c r="E98" s="21">
        <f t="shared" si="5"/>
        <v>142.96207566785696</v>
      </c>
    </row>
    <row r="99" spans="1:5" x14ac:dyDescent="0.4">
      <c r="A99" s="9" t="s">
        <v>274</v>
      </c>
      <c r="B99" s="20">
        <v>6.85</v>
      </c>
      <c r="C99" s="10">
        <v>6396.9</v>
      </c>
      <c r="D99" s="21">
        <f t="shared" si="4"/>
        <v>507.40740740740733</v>
      </c>
      <c r="E99" s="21">
        <f t="shared" si="5"/>
        <v>144.57578086154678</v>
      </c>
    </row>
    <row r="100" spans="1:5" x14ac:dyDescent="0.4">
      <c r="A100" s="9" t="s">
        <v>275</v>
      </c>
      <c r="B100" s="20">
        <v>7.67</v>
      </c>
      <c r="C100" s="10">
        <v>6618.8</v>
      </c>
      <c r="D100" s="21">
        <f t="shared" si="4"/>
        <v>568.14814814814815</v>
      </c>
      <c r="E100" s="21">
        <f t="shared" si="5"/>
        <v>149.59092347330832</v>
      </c>
    </row>
    <row r="101" spans="1:5" x14ac:dyDescent="0.4">
      <c r="A101" s="9" t="s">
        <v>276</v>
      </c>
      <c r="B101" s="20">
        <v>7.99</v>
      </c>
      <c r="C101" s="10">
        <v>6812.6</v>
      </c>
      <c r="D101" s="21">
        <f t="shared" ref="D101:D132" si="6">B101/$B$5*100</f>
        <v>591.85185185185185</v>
      </c>
      <c r="E101" s="21">
        <f t="shared" ref="E101:E132" si="7">C101/$C$5*100</f>
        <v>153.97098042760925</v>
      </c>
    </row>
    <row r="102" spans="1:5" x14ac:dyDescent="0.4">
      <c r="A102" s="9" t="s">
        <v>277</v>
      </c>
      <c r="B102" s="20">
        <v>7.39</v>
      </c>
      <c r="C102" s="10">
        <v>6604.2</v>
      </c>
      <c r="D102" s="21">
        <f t="shared" si="6"/>
        <v>547.40740740740739</v>
      </c>
      <c r="E102" s="21">
        <f t="shared" si="7"/>
        <v>149.26095014238575</v>
      </c>
    </row>
    <row r="103" spans="1:5" x14ac:dyDescent="0.4">
      <c r="A103" s="9" t="s">
        <v>278</v>
      </c>
      <c r="B103" s="20">
        <v>7.3</v>
      </c>
      <c r="C103" s="10">
        <v>6688.3</v>
      </c>
      <c r="D103" s="21">
        <f t="shared" si="6"/>
        <v>540.74074074074065</v>
      </c>
      <c r="E103" s="21">
        <f t="shared" si="7"/>
        <v>151.16168693215204</v>
      </c>
    </row>
    <row r="104" spans="1:5" x14ac:dyDescent="0.4">
      <c r="A104" s="9" t="s">
        <v>279</v>
      </c>
      <c r="B104" s="20">
        <v>7.01</v>
      </c>
      <c r="C104" s="10">
        <v>6663.4</v>
      </c>
      <c r="D104" s="21">
        <f t="shared" si="6"/>
        <v>519.25925925925924</v>
      </c>
      <c r="E104" s="21">
        <f t="shared" si="7"/>
        <v>150.5989241965375</v>
      </c>
    </row>
    <row r="105" spans="1:5" x14ac:dyDescent="0.4">
      <c r="A105" s="9" t="s">
        <v>280</v>
      </c>
      <c r="B105" s="20">
        <v>6.75</v>
      </c>
      <c r="C105" s="10">
        <v>6846</v>
      </c>
      <c r="D105" s="21">
        <f t="shared" si="6"/>
        <v>500</v>
      </c>
      <c r="E105" s="21">
        <f t="shared" si="7"/>
        <v>154.72585092437734</v>
      </c>
    </row>
    <row r="106" spans="1:5" x14ac:dyDescent="0.4">
      <c r="A106" s="9" t="s">
        <v>281</v>
      </c>
      <c r="B106" s="20">
        <v>6.27</v>
      </c>
      <c r="C106" s="10">
        <v>6684.1</v>
      </c>
      <c r="D106" s="21">
        <f t="shared" si="6"/>
        <v>464.4444444444444</v>
      </c>
      <c r="E106" s="21">
        <f t="shared" si="7"/>
        <v>151.06676309722914</v>
      </c>
    </row>
    <row r="107" spans="1:5" x14ac:dyDescent="0.4">
      <c r="A107" s="9" t="s">
        <v>282</v>
      </c>
      <c r="B107" s="20">
        <v>5.41</v>
      </c>
      <c r="C107" s="10">
        <v>7017.2</v>
      </c>
      <c r="D107" s="21">
        <f t="shared" si="6"/>
        <v>400.7407407407407</v>
      </c>
      <c r="E107" s="21">
        <f t="shared" si="7"/>
        <v>158.59512724314061</v>
      </c>
    </row>
    <row r="108" spans="1:5" x14ac:dyDescent="0.4">
      <c r="A108" s="9" t="s">
        <v>283</v>
      </c>
      <c r="B108" s="20">
        <v>4.63</v>
      </c>
      <c r="C108" s="10">
        <v>6441.2</v>
      </c>
      <c r="D108" s="21">
        <f t="shared" si="6"/>
        <v>342.96296296296293</v>
      </c>
      <c r="E108" s="21">
        <f t="shared" si="7"/>
        <v>145.57700131085295</v>
      </c>
    </row>
    <row r="109" spans="1:5" x14ac:dyDescent="0.4">
      <c r="A109" s="9" t="s">
        <v>284</v>
      </c>
      <c r="B109" s="20">
        <v>5.13</v>
      </c>
      <c r="C109" s="10">
        <v>5076.8</v>
      </c>
      <c r="D109" s="21">
        <f t="shared" si="6"/>
        <v>380</v>
      </c>
      <c r="E109" s="21">
        <f t="shared" si="7"/>
        <v>114.74031550874655</v>
      </c>
    </row>
    <row r="110" spans="1:5" x14ac:dyDescent="0.4">
      <c r="A110" s="9" t="s">
        <v>285</v>
      </c>
      <c r="B110" s="20">
        <v>4.92</v>
      </c>
      <c r="C110" s="10">
        <v>5522.4</v>
      </c>
      <c r="D110" s="21">
        <f t="shared" si="6"/>
        <v>364.4444444444444</v>
      </c>
      <c r="E110" s="21">
        <f t="shared" si="7"/>
        <v>124.81128237580796</v>
      </c>
    </row>
    <row r="111" spans="1:5" x14ac:dyDescent="0.4">
      <c r="A111" s="9" t="s">
        <v>286</v>
      </c>
      <c r="B111" s="20">
        <v>4.71</v>
      </c>
      <c r="C111" s="10">
        <v>5755.7</v>
      </c>
      <c r="D111" s="21">
        <f t="shared" si="6"/>
        <v>348.88888888888886</v>
      </c>
      <c r="E111" s="21">
        <f t="shared" si="7"/>
        <v>130.08407539664603</v>
      </c>
    </row>
    <row r="112" spans="1:5" x14ac:dyDescent="0.4">
      <c r="A112" s="9" t="s">
        <v>287</v>
      </c>
      <c r="B112" s="20">
        <v>4.6100000000000003</v>
      </c>
      <c r="C112" s="10">
        <v>5897.9</v>
      </c>
      <c r="D112" s="21">
        <f t="shared" si="6"/>
        <v>341.48148148148152</v>
      </c>
      <c r="E112" s="21">
        <f t="shared" si="7"/>
        <v>133.29792523617951</v>
      </c>
    </row>
    <row r="113" spans="1:5" x14ac:dyDescent="0.4">
      <c r="A113" s="9" t="s">
        <v>288</v>
      </c>
      <c r="B113" s="20">
        <v>4.43</v>
      </c>
      <c r="C113" s="10">
        <v>5927.8</v>
      </c>
      <c r="D113" s="21">
        <f t="shared" si="6"/>
        <v>328.1481481481481</v>
      </c>
      <c r="E113" s="21">
        <f t="shared" si="7"/>
        <v>133.97369253717849</v>
      </c>
    </row>
    <row r="114" spans="1:5" x14ac:dyDescent="0.4">
      <c r="A114" s="9" t="s">
        <v>289</v>
      </c>
      <c r="B114" s="20">
        <v>4.6100000000000003</v>
      </c>
      <c r="C114" s="10">
        <v>6060.5</v>
      </c>
      <c r="D114" s="21">
        <f t="shared" si="6"/>
        <v>341.48148148148152</v>
      </c>
      <c r="E114" s="21">
        <f t="shared" si="7"/>
        <v>136.97283370248158</v>
      </c>
    </row>
    <row r="115" spans="1:5" x14ac:dyDescent="0.4">
      <c r="A115" s="9" t="s">
        <v>290</v>
      </c>
      <c r="B115" s="20">
        <v>4.08</v>
      </c>
      <c r="C115" s="10">
        <v>5815.9</v>
      </c>
      <c r="D115" s="21">
        <f t="shared" si="6"/>
        <v>302.22222222222223</v>
      </c>
      <c r="E115" s="21">
        <f t="shared" si="7"/>
        <v>131.44465036387467</v>
      </c>
    </row>
    <row r="116" spans="1:5" x14ac:dyDescent="0.4">
      <c r="A116" s="9" t="s">
        <v>291</v>
      </c>
      <c r="B116" s="20">
        <v>4.16</v>
      </c>
      <c r="C116" s="10">
        <v>5927.6</v>
      </c>
      <c r="D116" s="21">
        <f t="shared" si="6"/>
        <v>308.14814814814815</v>
      </c>
      <c r="E116" s="21">
        <f t="shared" si="7"/>
        <v>133.96917235456311</v>
      </c>
    </row>
    <row r="117" spans="1:5" x14ac:dyDescent="0.4">
      <c r="A117" s="9" t="s">
        <v>292</v>
      </c>
      <c r="B117" s="20">
        <v>5.14</v>
      </c>
      <c r="C117" s="10">
        <v>6517.8</v>
      </c>
      <c r="D117" s="21">
        <f t="shared" si="6"/>
        <v>380.7407407407407</v>
      </c>
      <c r="E117" s="21">
        <f t="shared" si="7"/>
        <v>147.30823125254261</v>
      </c>
    </row>
    <row r="118" spans="1:5" x14ac:dyDescent="0.4">
      <c r="A118" s="9" t="s">
        <v>293</v>
      </c>
      <c r="B118" s="20">
        <v>5.97</v>
      </c>
      <c r="C118" s="10">
        <v>6587.1</v>
      </c>
      <c r="D118" s="21">
        <f t="shared" si="6"/>
        <v>442.22222222222217</v>
      </c>
      <c r="E118" s="21">
        <f t="shared" si="7"/>
        <v>148.87447452877097</v>
      </c>
    </row>
    <row r="119" spans="1:5" x14ac:dyDescent="0.4">
      <c r="A119" s="9" t="s">
        <v>294</v>
      </c>
      <c r="B119" s="20">
        <v>5.52</v>
      </c>
      <c r="C119" s="10">
        <v>6607.4</v>
      </c>
      <c r="D119" s="21">
        <f t="shared" si="6"/>
        <v>408.88888888888886</v>
      </c>
      <c r="E119" s="21">
        <f t="shared" si="7"/>
        <v>149.33327306423178</v>
      </c>
    </row>
    <row r="120" spans="1:5" x14ac:dyDescent="0.4">
      <c r="A120" s="9" t="s">
        <v>295</v>
      </c>
      <c r="B120" s="20">
        <v>5.54</v>
      </c>
      <c r="C120" s="10">
        <v>6673.3</v>
      </c>
      <c r="D120" s="21">
        <f t="shared" si="6"/>
        <v>410.37037037037038</v>
      </c>
      <c r="E120" s="21">
        <f t="shared" si="7"/>
        <v>150.82267323599871</v>
      </c>
    </row>
    <row r="121" spans="1:5" x14ac:dyDescent="0.4">
      <c r="A121" s="9" t="s">
        <v>296</v>
      </c>
      <c r="B121" s="20">
        <v>5.23</v>
      </c>
      <c r="C121" s="10">
        <v>6790.7</v>
      </c>
      <c r="D121" s="21">
        <f t="shared" si="6"/>
        <v>387.40740740740745</v>
      </c>
      <c r="E121" s="21">
        <f t="shared" si="7"/>
        <v>153.47602043122541</v>
      </c>
    </row>
    <row r="122" spans="1:5" x14ac:dyDescent="0.4">
      <c r="A122" s="9" t="s">
        <v>297</v>
      </c>
      <c r="B122" s="20">
        <v>6.18</v>
      </c>
      <c r="C122" s="10">
        <v>7025.8</v>
      </c>
      <c r="D122" s="21">
        <f t="shared" si="6"/>
        <v>457.77777777777777</v>
      </c>
      <c r="E122" s="21">
        <f t="shared" si="7"/>
        <v>158.78949509560186</v>
      </c>
    </row>
    <row r="123" spans="1:5" x14ac:dyDescent="0.4">
      <c r="A123" s="9" t="s">
        <v>298</v>
      </c>
      <c r="B123" s="20">
        <v>6.29</v>
      </c>
      <c r="C123" s="10">
        <v>7161.6</v>
      </c>
      <c r="D123" s="21">
        <f t="shared" si="6"/>
        <v>465.92592592592592</v>
      </c>
      <c r="E123" s="21">
        <f t="shared" si="7"/>
        <v>161.85869909144327</v>
      </c>
    </row>
    <row r="124" spans="1:5" x14ac:dyDescent="0.4">
      <c r="A124" s="9" t="s">
        <v>299</v>
      </c>
      <c r="B124" s="20">
        <v>6.51</v>
      </c>
      <c r="C124" s="10">
        <v>7313</v>
      </c>
      <c r="D124" s="21">
        <f t="shared" si="6"/>
        <v>482.22222222222217</v>
      </c>
      <c r="E124" s="21">
        <f t="shared" si="7"/>
        <v>165.28047733128417</v>
      </c>
    </row>
    <row r="125" spans="1:5" x14ac:dyDescent="0.4">
      <c r="A125" s="9" t="s">
        <v>300</v>
      </c>
      <c r="B125" s="20">
        <v>7.14</v>
      </c>
      <c r="C125" s="10">
        <v>7392.6</v>
      </c>
      <c r="D125" s="21">
        <f t="shared" si="6"/>
        <v>528.8888888888888</v>
      </c>
      <c r="E125" s="21">
        <f t="shared" si="7"/>
        <v>167.07951001220448</v>
      </c>
    </row>
    <row r="126" spans="1:5" x14ac:dyDescent="0.4">
      <c r="A126" s="9" t="s">
        <v>301</v>
      </c>
      <c r="B126" s="20">
        <v>6.77</v>
      </c>
      <c r="C126" s="10">
        <v>7534.9</v>
      </c>
      <c r="D126" s="21">
        <f t="shared" si="6"/>
        <v>501.48148148148141</v>
      </c>
      <c r="E126" s="21">
        <f t="shared" si="7"/>
        <v>170.29561994304566</v>
      </c>
    </row>
    <row r="127" spans="1:5" x14ac:dyDescent="0.4">
      <c r="A127" s="9" t="s">
        <v>302</v>
      </c>
      <c r="B127" s="20">
        <v>6.97</v>
      </c>
      <c r="C127" s="10">
        <v>7332.2</v>
      </c>
      <c r="D127" s="21">
        <f t="shared" si="6"/>
        <v>516.29629629629619</v>
      </c>
      <c r="E127" s="21">
        <f t="shared" si="7"/>
        <v>165.71441486236043</v>
      </c>
    </row>
    <row r="128" spans="1:5" x14ac:dyDescent="0.4">
      <c r="A128" s="9" t="s">
        <v>303</v>
      </c>
      <c r="B128" s="20">
        <v>6.62</v>
      </c>
      <c r="C128" s="10">
        <v>7323.7</v>
      </c>
      <c r="D128" s="21">
        <f t="shared" si="6"/>
        <v>490.37037037037032</v>
      </c>
      <c r="E128" s="21">
        <f t="shared" si="7"/>
        <v>165.52230710120688</v>
      </c>
    </row>
    <row r="129" spans="1:5" x14ac:dyDescent="0.4">
      <c r="A129" s="9" t="s">
        <v>304</v>
      </c>
      <c r="B129" s="20">
        <v>7</v>
      </c>
      <c r="C129" s="10">
        <v>7256</v>
      </c>
      <c r="D129" s="21">
        <f t="shared" si="6"/>
        <v>518.51851851851848</v>
      </c>
      <c r="E129" s="21">
        <f t="shared" si="7"/>
        <v>163.99222528590153</v>
      </c>
    </row>
    <row r="130" spans="1:5" x14ac:dyDescent="0.4">
      <c r="A130" s="9" t="s">
        <v>305</v>
      </c>
      <c r="B130" s="20">
        <v>7.01</v>
      </c>
      <c r="C130" s="10">
        <v>7444.6</v>
      </c>
      <c r="D130" s="21">
        <f t="shared" si="6"/>
        <v>519.25925925925924</v>
      </c>
      <c r="E130" s="21">
        <f t="shared" si="7"/>
        <v>168.25475749220269</v>
      </c>
    </row>
    <row r="131" spans="1:5" x14ac:dyDescent="0.4">
      <c r="A131" s="9" t="s">
        <v>306</v>
      </c>
      <c r="B131" s="20">
        <v>6.23</v>
      </c>
      <c r="C131" s="10">
        <v>6971.6</v>
      </c>
      <c r="D131" s="21">
        <f t="shared" si="6"/>
        <v>461.48148148148147</v>
      </c>
      <c r="E131" s="21">
        <f t="shared" si="7"/>
        <v>157.56452560683451</v>
      </c>
    </row>
    <row r="132" spans="1:5" x14ac:dyDescent="0.4">
      <c r="A132" s="9" t="s">
        <v>307</v>
      </c>
      <c r="B132" s="20">
        <v>6.53</v>
      </c>
      <c r="C132" s="10">
        <v>7049.1</v>
      </c>
      <c r="D132" s="21">
        <f t="shared" si="6"/>
        <v>483.7037037037037</v>
      </c>
      <c r="E132" s="21">
        <f t="shared" si="7"/>
        <v>159.31609637029337</v>
      </c>
    </row>
    <row r="133" spans="1:5" x14ac:dyDescent="0.4">
      <c r="A133" s="9" t="s">
        <v>308</v>
      </c>
      <c r="B133" s="20">
        <v>6.36</v>
      </c>
      <c r="C133" s="10">
        <v>7499.6</v>
      </c>
      <c r="D133" s="21">
        <f t="shared" ref="D133:D164" si="8">B133/$B$5*100</f>
        <v>471.11111111111114</v>
      </c>
      <c r="E133" s="21">
        <f t="shared" ref="E133:E164" si="9">C133/$C$5*100</f>
        <v>169.49780771143153</v>
      </c>
    </row>
    <row r="134" spans="1:5" x14ac:dyDescent="0.4">
      <c r="A134" s="9" t="s">
        <v>309</v>
      </c>
      <c r="B134" s="20">
        <v>7.08</v>
      </c>
      <c r="C134" s="10">
        <v>7435</v>
      </c>
      <c r="D134" s="21">
        <f t="shared" si="8"/>
        <v>524.44444444444446</v>
      </c>
      <c r="E134" s="21">
        <f t="shared" si="9"/>
        <v>168.03778872666456</v>
      </c>
    </row>
    <row r="135" spans="1:5" x14ac:dyDescent="0.4">
      <c r="A135" s="9" t="s">
        <v>310</v>
      </c>
      <c r="B135" s="20">
        <v>7.39</v>
      </c>
      <c r="C135" s="10">
        <v>7211.2</v>
      </c>
      <c r="D135" s="21">
        <f t="shared" si="8"/>
        <v>547.40740740740739</v>
      </c>
      <c r="E135" s="21">
        <f t="shared" si="9"/>
        <v>162.97970438005694</v>
      </c>
    </row>
    <row r="136" spans="1:5" x14ac:dyDescent="0.4">
      <c r="A136" s="9" t="s">
        <v>311</v>
      </c>
      <c r="B136" s="20">
        <v>7.38</v>
      </c>
      <c r="C136" s="10">
        <v>6568.1</v>
      </c>
      <c r="D136" s="21">
        <f t="shared" si="8"/>
        <v>546.66666666666663</v>
      </c>
      <c r="E136" s="21">
        <f t="shared" si="9"/>
        <v>148.4450571803101</v>
      </c>
    </row>
    <row r="137" spans="1:5" x14ac:dyDescent="0.4">
      <c r="A137" s="9" t="s">
        <v>312</v>
      </c>
      <c r="B137" s="20">
        <v>7.24</v>
      </c>
      <c r="C137" s="10">
        <v>6945.2</v>
      </c>
      <c r="D137" s="21">
        <f t="shared" si="8"/>
        <v>536.2962962962963</v>
      </c>
      <c r="E137" s="21">
        <f t="shared" si="9"/>
        <v>156.96786150160463</v>
      </c>
    </row>
    <row r="138" spans="1:5" x14ac:dyDescent="0.4">
      <c r="A138" s="9" t="s">
        <v>313</v>
      </c>
      <c r="B138" s="20">
        <v>8.18</v>
      </c>
      <c r="C138" s="10">
        <v>6986.8</v>
      </c>
      <c r="D138" s="21">
        <f t="shared" si="8"/>
        <v>605.92592592592587</v>
      </c>
      <c r="E138" s="21">
        <f t="shared" si="9"/>
        <v>157.90805948560319</v>
      </c>
    </row>
    <row r="139" spans="1:5" x14ac:dyDescent="0.4">
      <c r="A139" s="9" t="s">
        <v>314</v>
      </c>
      <c r="B139" s="20">
        <v>7.43</v>
      </c>
      <c r="C139" s="10">
        <v>6474.2</v>
      </c>
      <c r="D139" s="21">
        <f t="shared" si="8"/>
        <v>550.37037037037032</v>
      </c>
      <c r="E139" s="21">
        <f t="shared" si="9"/>
        <v>146.32283144239025</v>
      </c>
    </row>
    <row r="140" spans="1:5" x14ac:dyDescent="0.4">
      <c r="A140" s="9" t="s">
        <v>315</v>
      </c>
      <c r="B140" s="20">
        <v>6.67</v>
      </c>
      <c r="C140" s="10">
        <v>6863.5</v>
      </c>
      <c r="D140" s="21">
        <f t="shared" si="8"/>
        <v>494.07407407407408</v>
      </c>
      <c r="E140" s="21">
        <f t="shared" si="9"/>
        <v>155.12136690322288</v>
      </c>
    </row>
    <row r="141" spans="1:5" x14ac:dyDescent="0.4">
      <c r="A141" s="9" t="s">
        <v>316</v>
      </c>
      <c r="B141" s="20">
        <v>7.3</v>
      </c>
      <c r="C141" s="10">
        <v>7284.2</v>
      </c>
      <c r="D141" s="21">
        <f t="shared" si="8"/>
        <v>540.74074074074065</v>
      </c>
      <c r="E141" s="21">
        <f t="shared" si="9"/>
        <v>164.62957103466977</v>
      </c>
    </row>
    <row r="142" spans="1:5" x14ac:dyDescent="0.4">
      <c r="A142" s="9" t="s">
        <v>317</v>
      </c>
      <c r="B142" s="20">
        <v>7.75</v>
      </c>
      <c r="C142" s="10">
        <v>7038.7</v>
      </c>
      <c r="D142" s="21">
        <f t="shared" si="8"/>
        <v>574.07407407407402</v>
      </c>
      <c r="E142" s="21">
        <f t="shared" si="9"/>
        <v>159.08104687429369</v>
      </c>
    </row>
    <row r="143" spans="1:5" x14ac:dyDescent="0.4">
      <c r="A143" s="9" t="s">
        <v>318</v>
      </c>
      <c r="B143" s="20">
        <v>7.87</v>
      </c>
      <c r="C143" s="10">
        <v>7476.7</v>
      </c>
      <c r="D143" s="21">
        <f t="shared" si="8"/>
        <v>582.96296296296293</v>
      </c>
      <c r="E143" s="21">
        <f t="shared" si="9"/>
        <v>168.98024680197079</v>
      </c>
    </row>
    <row r="144" spans="1:5" x14ac:dyDescent="0.4">
      <c r="A144" s="9" t="s">
        <v>319</v>
      </c>
      <c r="B144" s="20">
        <v>7.6</v>
      </c>
      <c r="C144" s="10">
        <v>7258.4</v>
      </c>
      <c r="D144" s="21">
        <f t="shared" si="8"/>
        <v>562.96296296296293</v>
      </c>
      <c r="E144" s="21">
        <f t="shared" si="9"/>
        <v>164.04646747728606</v>
      </c>
    </row>
    <row r="145" spans="1:5" x14ac:dyDescent="0.4">
      <c r="A145" s="9" t="s">
        <v>320</v>
      </c>
      <c r="B145" s="20">
        <v>7.05</v>
      </c>
      <c r="C145" s="10">
        <v>7177.8</v>
      </c>
      <c r="D145" s="21">
        <f t="shared" si="8"/>
        <v>522.22222222222217</v>
      </c>
      <c r="E145" s="21">
        <f t="shared" si="9"/>
        <v>162.22483388328888</v>
      </c>
    </row>
    <row r="146" spans="1:5" x14ac:dyDescent="0.4">
      <c r="A146" s="9" t="s">
        <v>321</v>
      </c>
      <c r="B146" s="20">
        <v>7.72</v>
      </c>
      <c r="C146" s="10">
        <v>7309.2</v>
      </c>
      <c r="D146" s="21">
        <f t="shared" si="8"/>
        <v>571.85185185185185</v>
      </c>
      <c r="E146" s="21">
        <f t="shared" si="9"/>
        <v>165.19459386159198</v>
      </c>
    </row>
    <row r="147" spans="1:5" x14ac:dyDescent="0.4">
      <c r="A147" s="9" t="s">
        <v>322</v>
      </c>
      <c r="B147" s="20">
        <v>8.4499999999999993</v>
      </c>
      <c r="C147" s="10">
        <v>7091.3</v>
      </c>
      <c r="D147" s="21">
        <f t="shared" si="8"/>
        <v>625.92592592592587</v>
      </c>
      <c r="E147" s="21">
        <f t="shared" si="9"/>
        <v>160.26985490213804</v>
      </c>
    </row>
    <row r="148" spans="1:5" x14ac:dyDescent="0.4">
      <c r="A148" s="9" t="s">
        <v>323</v>
      </c>
      <c r="B148" s="20">
        <v>8.4499999999999993</v>
      </c>
      <c r="C148" s="10">
        <v>7203.3</v>
      </c>
      <c r="D148" s="21">
        <f t="shared" si="8"/>
        <v>625.92592592592587</v>
      </c>
      <c r="E148" s="21">
        <f t="shared" si="9"/>
        <v>162.80115716674953</v>
      </c>
    </row>
    <row r="149" spans="1:5" x14ac:dyDescent="0.4">
      <c r="A149" s="9" t="s">
        <v>324</v>
      </c>
      <c r="B149" s="20">
        <v>8.2799999999999994</v>
      </c>
      <c r="C149" s="10">
        <v>7410.4</v>
      </c>
      <c r="D149" s="21">
        <f t="shared" si="8"/>
        <v>613.33333333333326</v>
      </c>
      <c r="E149" s="21">
        <f t="shared" si="9"/>
        <v>167.4818062649731</v>
      </c>
    </row>
    <row r="150" spans="1:5" x14ac:dyDescent="0.4">
      <c r="A150" s="9" t="s">
        <v>325</v>
      </c>
      <c r="B150" s="20">
        <v>8.32</v>
      </c>
      <c r="C150" s="10">
        <v>7305.3</v>
      </c>
      <c r="D150" s="21">
        <f t="shared" si="8"/>
        <v>616.2962962962963</v>
      </c>
      <c r="E150" s="21">
        <f t="shared" si="9"/>
        <v>165.10645030059214</v>
      </c>
    </row>
    <row r="151" spans="1:5" x14ac:dyDescent="0.4">
      <c r="A151" s="9" t="s">
        <v>326</v>
      </c>
      <c r="B151" s="20">
        <v>7.43</v>
      </c>
      <c r="C151" s="10">
        <v>7048.6</v>
      </c>
      <c r="D151" s="21">
        <f t="shared" si="8"/>
        <v>550.37037037037032</v>
      </c>
      <c r="E151" s="21">
        <f t="shared" si="9"/>
        <v>159.3047959137549</v>
      </c>
    </row>
    <row r="152" spans="1:5" x14ac:dyDescent="0.4">
      <c r="A152" s="9" t="s">
        <v>327</v>
      </c>
      <c r="B152" s="20">
        <v>7.24</v>
      </c>
      <c r="C152" s="10">
        <v>6780.7</v>
      </c>
      <c r="D152" s="21">
        <f t="shared" si="8"/>
        <v>536.2962962962963</v>
      </c>
      <c r="E152" s="21">
        <f t="shared" si="9"/>
        <v>153.25001130045652</v>
      </c>
    </row>
    <row r="153" spans="1:5" x14ac:dyDescent="0.4">
      <c r="A153" s="9" t="s">
        <v>328</v>
      </c>
      <c r="B153" s="20">
        <v>7.58</v>
      </c>
      <c r="C153" s="10">
        <v>7087.3</v>
      </c>
      <c r="D153" s="21">
        <f t="shared" si="8"/>
        <v>561.48148148148152</v>
      </c>
      <c r="E153" s="21">
        <f t="shared" si="9"/>
        <v>160.17945124983049</v>
      </c>
    </row>
    <row r="154" spans="1:5" x14ac:dyDescent="0.4">
      <c r="A154" s="9" t="s">
        <v>329</v>
      </c>
      <c r="B154" s="20">
        <v>7.39</v>
      </c>
      <c r="C154" s="10">
        <v>7590.8</v>
      </c>
      <c r="D154" s="21">
        <f t="shared" si="8"/>
        <v>547.40740740740739</v>
      </c>
      <c r="E154" s="21">
        <f t="shared" si="9"/>
        <v>171.55901098404374</v>
      </c>
    </row>
    <row r="155" spans="1:5" x14ac:dyDescent="0.4">
      <c r="A155" s="9" t="s">
        <v>330</v>
      </c>
      <c r="B155" s="20">
        <v>8.14</v>
      </c>
      <c r="C155" s="10">
        <v>7680.7</v>
      </c>
      <c r="D155" s="21">
        <f t="shared" si="8"/>
        <v>602.96296296296293</v>
      </c>
      <c r="E155" s="21">
        <f t="shared" si="9"/>
        <v>173.59083306965599</v>
      </c>
    </row>
    <row r="156" spans="1:5" x14ac:dyDescent="0.4">
      <c r="A156" s="9" t="s">
        <v>331</v>
      </c>
      <c r="B156" s="20">
        <v>7.32</v>
      </c>
      <c r="C156" s="10">
        <v>7698.7</v>
      </c>
      <c r="D156" s="21">
        <f t="shared" si="8"/>
        <v>542.22222222222229</v>
      </c>
      <c r="E156" s="21">
        <f t="shared" si="9"/>
        <v>173.99764950503999</v>
      </c>
    </row>
    <row r="157" spans="1:5" x14ac:dyDescent="0.4">
      <c r="A157" s="9" t="s">
        <v>332</v>
      </c>
      <c r="B157" s="20">
        <v>7.86</v>
      </c>
      <c r="C157" s="10">
        <v>7896.9</v>
      </c>
      <c r="D157" s="21">
        <f t="shared" si="8"/>
        <v>582.22222222222217</v>
      </c>
      <c r="E157" s="21">
        <f t="shared" si="9"/>
        <v>178.47715047687925</v>
      </c>
    </row>
    <row r="158" spans="1:5" x14ac:dyDescent="0.4">
      <c r="A158" s="9" t="s">
        <v>333</v>
      </c>
      <c r="B158" s="20">
        <v>7.45</v>
      </c>
      <c r="C158" s="10">
        <v>7664.1</v>
      </c>
      <c r="D158" s="21">
        <f t="shared" si="8"/>
        <v>551.85185185185185</v>
      </c>
      <c r="E158" s="21">
        <f t="shared" si="9"/>
        <v>173.21565791257967</v>
      </c>
    </row>
    <row r="159" spans="1:5" x14ac:dyDescent="0.4">
      <c r="A159" s="9" t="s">
        <v>334</v>
      </c>
      <c r="B159" s="20">
        <v>7.44</v>
      </c>
      <c r="C159" s="10">
        <v>7701.7</v>
      </c>
      <c r="D159" s="21">
        <f t="shared" si="8"/>
        <v>551.11111111111109</v>
      </c>
      <c r="E159" s="21">
        <f t="shared" si="9"/>
        <v>174.06545224427066</v>
      </c>
    </row>
    <row r="160" spans="1:5" x14ac:dyDescent="0.4">
      <c r="A160" s="9" t="s">
        <v>335</v>
      </c>
      <c r="B160" s="20">
        <v>7.35</v>
      </c>
      <c r="C160" s="10">
        <v>7767.5</v>
      </c>
      <c r="D160" s="21">
        <f t="shared" si="8"/>
        <v>544.44444444444434</v>
      </c>
      <c r="E160" s="21">
        <f t="shared" si="9"/>
        <v>175.55259232472991</v>
      </c>
    </row>
    <row r="161" spans="1:5" x14ac:dyDescent="0.4">
      <c r="A161" s="9" t="s">
        <v>336</v>
      </c>
      <c r="B161" s="20">
        <v>7.53</v>
      </c>
      <c r="C161" s="10">
        <v>8092.3</v>
      </c>
      <c r="D161" s="21">
        <f t="shared" si="8"/>
        <v>557.77777777777771</v>
      </c>
      <c r="E161" s="21">
        <f t="shared" si="9"/>
        <v>182.89336889210324</v>
      </c>
    </row>
    <row r="162" spans="1:5" x14ac:dyDescent="0.4">
      <c r="A162" s="9" t="s">
        <v>337</v>
      </c>
      <c r="B162" s="20">
        <v>6.26</v>
      </c>
      <c r="C162" s="10">
        <v>8091.9</v>
      </c>
      <c r="D162" s="21">
        <f t="shared" si="8"/>
        <v>463.7037037037037</v>
      </c>
      <c r="E162" s="21">
        <f t="shared" si="9"/>
        <v>182.88432852687245</v>
      </c>
    </row>
    <row r="163" spans="1:5" x14ac:dyDescent="0.4">
      <c r="A163" s="9" t="s">
        <v>338</v>
      </c>
      <c r="B163" s="20">
        <v>5.94</v>
      </c>
      <c r="C163" s="10">
        <v>8269.7999999999993</v>
      </c>
      <c r="D163" s="21">
        <f t="shared" si="8"/>
        <v>440.00000000000006</v>
      </c>
      <c r="E163" s="21">
        <f t="shared" si="9"/>
        <v>186.90503096325088</v>
      </c>
    </row>
    <row r="164" spans="1:5" x14ac:dyDescent="0.4">
      <c r="A164" s="9" t="s">
        <v>339</v>
      </c>
      <c r="B164" s="20">
        <v>5.78</v>
      </c>
      <c r="C164" s="10">
        <v>8160</v>
      </c>
      <c r="D164" s="21">
        <f t="shared" si="8"/>
        <v>428.14814814814815</v>
      </c>
      <c r="E164" s="21">
        <f t="shared" si="9"/>
        <v>184.42345070740856</v>
      </c>
    </row>
    <row r="165" spans="1:5" x14ac:dyDescent="0.4">
      <c r="A165" s="9" t="s">
        <v>340</v>
      </c>
      <c r="B165" s="20">
        <v>5.68</v>
      </c>
      <c r="C165" s="10">
        <v>8436.2000000000007</v>
      </c>
      <c r="D165" s="21">
        <f t="shared" ref="D165:D184" si="10">B165/$B$5*100</f>
        <v>420.7407407407407</v>
      </c>
      <c r="E165" s="21">
        <f t="shared" ref="E165:E184" si="11">C165/$C$5*100</f>
        <v>190.66582289924514</v>
      </c>
    </row>
    <row r="166" spans="1:5" x14ac:dyDescent="0.4">
      <c r="A166" s="9" t="s">
        <v>341</v>
      </c>
      <c r="B166" s="20">
        <v>5.48</v>
      </c>
      <c r="C166" s="10">
        <v>8159.1</v>
      </c>
      <c r="D166" s="21">
        <f t="shared" si="10"/>
        <v>405.92592592592592</v>
      </c>
      <c r="E166" s="21">
        <f t="shared" si="11"/>
        <v>184.40310988563937</v>
      </c>
    </row>
    <row r="167" spans="1:5" x14ac:dyDescent="0.4">
      <c r="A167" s="9" t="s">
        <v>342</v>
      </c>
      <c r="B167" s="20">
        <v>5.78</v>
      </c>
      <c r="C167" s="10">
        <v>8532.2999999999993</v>
      </c>
      <c r="D167" s="21">
        <f t="shared" si="10"/>
        <v>428.14814814814815</v>
      </c>
      <c r="E167" s="21">
        <f t="shared" si="11"/>
        <v>192.83777064593406</v>
      </c>
    </row>
    <row r="168" spans="1:5" x14ac:dyDescent="0.4">
      <c r="A168" s="9" t="s">
        <v>343</v>
      </c>
      <c r="B168" s="20">
        <v>6.68</v>
      </c>
      <c r="C168" s="10">
        <v>8172.4</v>
      </c>
      <c r="D168" s="21">
        <f t="shared" si="10"/>
        <v>494.81481481481478</v>
      </c>
      <c r="E168" s="21">
        <f t="shared" si="11"/>
        <v>184.70370202956195</v>
      </c>
    </row>
    <row r="169" spans="1:5" x14ac:dyDescent="0.4">
      <c r="A169" s="9" t="s">
        <v>344</v>
      </c>
      <c r="B169" s="20">
        <v>6.85</v>
      </c>
      <c r="C169" s="10">
        <v>7843.4</v>
      </c>
      <c r="D169" s="21">
        <f t="shared" si="10"/>
        <v>507.40740740740733</v>
      </c>
      <c r="E169" s="21">
        <f t="shared" si="11"/>
        <v>177.26800162726573</v>
      </c>
    </row>
    <row r="170" spans="1:5" x14ac:dyDescent="0.4">
      <c r="A170" s="9" t="s">
        <v>345</v>
      </c>
      <c r="B170" s="20">
        <v>6.84</v>
      </c>
      <c r="C170" s="10">
        <v>8126.2</v>
      </c>
      <c r="D170" s="21">
        <f t="shared" si="10"/>
        <v>506.66666666666663</v>
      </c>
      <c r="E170" s="21">
        <f t="shared" si="11"/>
        <v>183.65953984540971</v>
      </c>
    </row>
    <row r="171" spans="1:5" x14ac:dyDescent="0.4">
      <c r="A171" s="9" t="s">
        <v>346</v>
      </c>
      <c r="B171" s="20">
        <v>6.73</v>
      </c>
      <c r="C171" s="10">
        <v>8434.7000000000007</v>
      </c>
      <c r="D171" s="21">
        <f t="shared" si="10"/>
        <v>498.51851851851848</v>
      </c>
      <c r="E171" s="21">
        <f t="shared" si="11"/>
        <v>190.63192152962981</v>
      </c>
    </row>
    <row r="172" spans="1:5" x14ac:dyDescent="0.4">
      <c r="A172" s="9" t="s">
        <v>347</v>
      </c>
      <c r="B172" s="20">
        <v>7.08</v>
      </c>
      <c r="C172" s="10">
        <v>8542.2999999999993</v>
      </c>
      <c r="D172" s="21">
        <f t="shared" si="10"/>
        <v>524.44444444444446</v>
      </c>
      <c r="E172" s="21">
        <f t="shared" si="11"/>
        <v>193.06377977670294</v>
      </c>
    </row>
    <row r="173" spans="1:5" x14ac:dyDescent="0.4">
      <c r="A173" s="9" t="s">
        <v>348</v>
      </c>
      <c r="B173" s="20">
        <v>7.41</v>
      </c>
      <c r="C173" s="10">
        <v>8742.7999999999993</v>
      </c>
      <c r="D173" s="21">
        <f t="shared" si="10"/>
        <v>548.88888888888891</v>
      </c>
      <c r="E173" s="21">
        <f t="shared" si="11"/>
        <v>197.59526284861906</v>
      </c>
    </row>
    <row r="174" spans="1:5" x14ac:dyDescent="0.4">
      <c r="A174" s="9" t="s">
        <v>349</v>
      </c>
      <c r="B174" s="20">
        <v>7.68</v>
      </c>
      <c r="C174" s="10">
        <v>8973.1</v>
      </c>
      <c r="D174" s="21">
        <f t="shared" si="10"/>
        <v>568.8888888888888</v>
      </c>
      <c r="E174" s="21">
        <f t="shared" si="11"/>
        <v>202.80025313022648</v>
      </c>
    </row>
    <row r="175" spans="1:5" x14ac:dyDescent="0.4">
      <c r="A175" s="9" t="s">
        <v>350</v>
      </c>
      <c r="B175" s="20">
        <v>7.42</v>
      </c>
      <c r="C175" s="10">
        <v>8848.7999999999993</v>
      </c>
      <c r="D175" s="21">
        <f t="shared" si="10"/>
        <v>549.62962962962956</v>
      </c>
      <c r="E175" s="21">
        <f t="shared" si="11"/>
        <v>199.99095963476921</v>
      </c>
    </row>
    <row r="176" spans="1:5" x14ac:dyDescent="0.4">
      <c r="A176" s="9" t="s">
        <v>351</v>
      </c>
      <c r="B176" s="20">
        <v>7.54</v>
      </c>
      <c r="C176" s="10">
        <v>8881.9</v>
      </c>
      <c r="D176" s="21">
        <f t="shared" si="10"/>
        <v>558.51851851851848</v>
      </c>
      <c r="E176" s="21">
        <f t="shared" si="11"/>
        <v>200.73904985761422</v>
      </c>
    </row>
    <row r="177" spans="1:5" x14ac:dyDescent="0.4">
      <c r="A177" s="9" t="s">
        <v>352</v>
      </c>
      <c r="B177" s="20">
        <v>7.17</v>
      </c>
      <c r="C177" s="10">
        <v>8614.1</v>
      </c>
      <c r="D177" s="21">
        <f t="shared" si="10"/>
        <v>531.11111111111109</v>
      </c>
      <c r="E177" s="21">
        <f t="shared" si="11"/>
        <v>194.68652533562357</v>
      </c>
    </row>
    <row r="178" spans="1:5" x14ac:dyDescent="0.4">
      <c r="A178" s="9" t="s">
        <v>353</v>
      </c>
      <c r="B178" s="20">
        <v>6.86</v>
      </c>
      <c r="C178" s="10">
        <v>8714.2999999999993</v>
      </c>
      <c r="D178" s="21">
        <f t="shared" si="10"/>
        <v>508.14814814814815</v>
      </c>
      <c r="E178" s="21">
        <f t="shared" si="11"/>
        <v>196.95113682592773</v>
      </c>
    </row>
    <row r="179" spans="1:5" x14ac:dyDescent="0.4">
      <c r="A179" s="9" t="s">
        <v>354</v>
      </c>
      <c r="B179" s="20">
        <v>6.73</v>
      </c>
      <c r="C179" s="10">
        <v>8869.1</v>
      </c>
      <c r="D179" s="21">
        <f t="shared" si="10"/>
        <v>498.51851851851848</v>
      </c>
      <c r="E179" s="21">
        <f t="shared" si="11"/>
        <v>200.44975817023007</v>
      </c>
    </row>
    <row r="180" spans="1:5" x14ac:dyDescent="0.4">
      <c r="A180" s="9" t="s">
        <v>355</v>
      </c>
      <c r="B180" s="20">
        <v>6.41</v>
      </c>
      <c r="C180" s="10">
        <v>9198.6</v>
      </c>
      <c r="D180" s="21">
        <f t="shared" si="10"/>
        <v>474.81481481481478</v>
      </c>
      <c r="E180" s="21">
        <f t="shared" si="11"/>
        <v>207.89675902906475</v>
      </c>
    </row>
    <row r="181" spans="1:5" x14ac:dyDescent="0.4">
      <c r="A181" s="9" t="s">
        <v>356</v>
      </c>
      <c r="B181" s="20">
        <v>6.36</v>
      </c>
      <c r="C181" s="10">
        <v>8481.7999999999993</v>
      </c>
      <c r="D181" s="21">
        <f t="shared" si="10"/>
        <v>471.11111111111114</v>
      </c>
      <c r="E181" s="21">
        <f t="shared" si="11"/>
        <v>191.69642453555122</v>
      </c>
    </row>
    <row r="182" spans="1:5" x14ac:dyDescent="0.4">
      <c r="A182" s="9" t="s">
        <v>357</v>
      </c>
      <c r="B182" s="20">
        <v>6.65</v>
      </c>
      <c r="C182" s="10">
        <v>8665.7999999999993</v>
      </c>
      <c r="D182" s="21">
        <f t="shared" si="10"/>
        <v>492.59259259259255</v>
      </c>
      <c r="E182" s="21">
        <f t="shared" si="11"/>
        <v>195.85499254169864</v>
      </c>
    </row>
    <row r="183" spans="1:5" x14ac:dyDescent="0.4">
      <c r="A183" s="9" t="s">
        <v>358</v>
      </c>
      <c r="B183" s="20">
        <v>6.68</v>
      </c>
      <c r="C183" s="10">
        <v>8731.7000000000007</v>
      </c>
      <c r="D183" s="21">
        <f t="shared" si="10"/>
        <v>494.81481481481478</v>
      </c>
      <c r="E183" s="21">
        <f t="shared" si="11"/>
        <v>197.34439271346562</v>
      </c>
    </row>
    <row r="184" spans="1:5" x14ac:dyDescent="0.4">
      <c r="A184" s="9" t="s">
        <v>359</v>
      </c>
      <c r="B184" s="20">
        <v>6.99</v>
      </c>
      <c r="C184" s="10">
        <v>8804</v>
      </c>
      <c r="D184" s="21">
        <f t="shared" si="10"/>
        <v>517.77777777777783</v>
      </c>
      <c r="E184" s="21">
        <f t="shared" si="11"/>
        <v>198.97843872892463</v>
      </c>
    </row>
    <row r="186" spans="1:5" x14ac:dyDescent="0.4">
      <c r="A186" s="12" t="s">
        <v>360</v>
      </c>
      <c r="B186" s="22">
        <f>D184/100</f>
        <v>5.177777777777778</v>
      </c>
    </row>
    <row r="187" spans="1:5" x14ac:dyDescent="0.4">
      <c r="A187" s="12" t="s">
        <v>361</v>
      </c>
      <c r="B187" s="23">
        <f>E184/100</f>
        <v>1.9897843872892462</v>
      </c>
    </row>
  </sheetData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1"/>
  <sheetViews>
    <sheetView workbookViewId="0">
      <selection activeCell="C6" sqref="C6"/>
    </sheetView>
  </sheetViews>
  <sheetFormatPr defaultRowHeight="15.45" x14ac:dyDescent="0.4"/>
  <cols>
    <col min="1" max="1" width="9" customWidth="1"/>
    <col min="2" max="4" width="11" customWidth="1"/>
  </cols>
  <sheetData>
    <row r="1" spans="1:4" ht="20.149999999999999" x14ac:dyDescent="0.55000000000000004">
      <c r="A1" s="7" t="s">
        <v>362</v>
      </c>
    </row>
    <row r="2" spans="1:4" x14ac:dyDescent="0.4">
      <c r="A2" s="2" t="s">
        <v>363</v>
      </c>
    </row>
    <row r="4" spans="1:4" x14ac:dyDescent="0.4">
      <c r="A4" s="8" t="s">
        <v>364</v>
      </c>
      <c r="B4" s="8" t="s">
        <v>365</v>
      </c>
      <c r="C4" s="8" t="s">
        <v>366</v>
      </c>
      <c r="D4" s="8" t="s">
        <v>367</v>
      </c>
    </row>
    <row r="5" spans="1:4" x14ac:dyDescent="0.4">
      <c r="A5" s="9" t="s">
        <v>368</v>
      </c>
      <c r="B5" s="11">
        <v>204.9</v>
      </c>
      <c r="C5" s="11">
        <v>160.5</v>
      </c>
    </row>
    <row r="6" spans="1:4" x14ac:dyDescent="0.4">
      <c r="A6" s="9" t="s">
        <v>369</v>
      </c>
      <c r="B6" s="11">
        <v>237</v>
      </c>
      <c r="C6" s="9"/>
      <c r="D6" s="24">
        <f>(B6-B5)/B5*100</f>
        <v>15.666178623718885</v>
      </c>
    </row>
    <row r="7" spans="1:4" x14ac:dyDescent="0.4">
      <c r="A7" s="9" t="s">
        <v>370</v>
      </c>
      <c r="B7" s="11">
        <v>263.2</v>
      </c>
      <c r="C7" s="11">
        <v>191.1</v>
      </c>
      <c r="D7" s="24">
        <f>(B7-B6)/B6*100</f>
        <v>11.054852320675099</v>
      </c>
    </row>
    <row r="8" spans="1:4" x14ac:dyDescent="0.4">
      <c r="A8" s="9" t="s">
        <v>371</v>
      </c>
      <c r="B8" s="11">
        <v>257.5</v>
      </c>
      <c r="C8" s="11">
        <v>181.6</v>
      </c>
      <c r="D8" s="24">
        <f>(B8-B7)/B7*100</f>
        <v>-2.1656534954407252</v>
      </c>
    </row>
    <row r="9" spans="1:4" x14ac:dyDescent="0.4">
      <c r="A9" s="9" t="s">
        <v>372</v>
      </c>
      <c r="B9" s="11">
        <v>239.2</v>
      </c>
      <c r="C9" s="11">
        <v>198.6</v>
      </c>
      <c r="D9" s="24">
        <f>(B9-B8)/B8*100</f>
        <v>-7.1067961165048583</v>
      </c>
    </row>
    <row r="11" spans="1:4" x14ac:dyDescent="0.4">
      <c r="A11" s="2" t="s">
        <v>373</v>
      </c>
    </row>
  </sheetData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5"/>
  <sheetViews>
    <sheetView workbookViewId="0">
      <pane ySplit="3" topLeftCell="A4" activePane="bottomLeft" state="frozen"/>
      <selection pane="bottomLeft" activeCell="D32" sqref="D32"/>
    </sheetView>
  </sheetViews>
  <sheetFormatPr defaultRowHeight="15.45" x14ac:dyDescent="0.4"/>
  <cols>
    <col min="1" max="1" width="24.1640625" customWidth="1"/>
    <col min="2" max="2" width="10.6640625" customWidth="1"/>
    <col min="3" max="4" width="12" customWidth="1"/>
    <col min="5" max="6" width="10" customWidth="1"/>
    <col min="7" max="7" width="8" customWidth="1"/>
  </cols>
  <sheetData>
    <row r="1" spans="1:7" ht="20.149999999999999" x14ac:dyDescent="0.55000000000000004">
      <c r="A1" s="7" t="s">
        <v>374</v>
      </c>
    </row>
    <row r="2" spans="1:7" x14ac:dyDescent="0.4">
      <c r="A2" s="2" t="s">
        <v>375</v>
      </c>
    </row>
    <row r="4" spans="1:7" x14ac:dyDescent="0.4">
      <c r="A4" s="8" t="s">
        <v>38</v>
      </c>
      <c r="B4" s="8" t="s">
        <v>376</v>
      </c>
      <c r="C4" s="8" t="s">
        <v>377</v>
      </c>
      <c r="D4" s="8" t="s">
        <v>378</v>
      </c>
      <c r="E4" s="8" t="s">
        <v>379</v>
      </c>
      <c r="F4" s="8" t="s">
        <v>380</v>
      </c>
      <c r="G4" s="8" t="s">
        <v>381</v>
      </c>
    </row>
    <row r="5" spans="1:7" x14ac:dyDescent="0.4">
      <c r="A5" s="9" t="s">
        <v>77</v>
      </c>
      <c r="B5" s="9">
        <v>1</v>
      </c>
      <c r="C5" s="10">
        <v>537755</v>
      </c>
      <c r="D5" s="10">
        <v>804004</v>
      </c>
      <c r="E5" s="25">
        <f t="shared" ref="E5:E20" si="0">LN(C5)</f>
        <v>13.19515834508768</v>
      </c>
      <c r="F5" s="25">
        <f t="shared" ref="F5:F20" si="1">LN(D5)</f>
        <v>13.597359523273106</v>
      </c>
      <c r="G5" s="9"/>
    </row>
    <row r="6" spans="1:7" x14ac:dyDescent="0.4">
      <c r="A6" s="9" t="s">
        <v>78</v>
      </c>
      <c r="B6" s="9">
        <v>2</v>
      </c>
      <c r="C6" s="10">
        <v>534164</v>
      </c>
      <c r="D6" s="10">
        <v>810996</v>
      </c>
      <c r="E6" s="25">
        <f t="shared" si="0"/>
        <v>13.188458186896703</v>
      </c>
      <c r="F6" s="25">
        <f t="shared" si="1"/>
        <v>13.606018400902895</v>
      </c>
      <c r="G6" s="9"/>
    </row>
    <row r="7" spans="1:7" x14ac:dyDescent="0.4">
      <c r="A7" s="9" t="s">
        <v>79</v>
      </c>
      <c r="B7" s="9">
        <v>3</v>
      </c>
      <c r="C7" s="10">
        <v>526786</v>
      </c>
      <c r="D7" s="10">
        <v>805490</v>
      </c>
      <c r="E7" s="25">
        <f t="shared" si="0"/>
        <v>13.174549672947633</v>
      </c>
      <c r="F7" s="25">
        <f t="shared" si="1"/>
        <v>13.599206066872817</v>
      </c>
      <c r="G7" s="9"/>
    </row>
    <row r="8" spans="1:7" x14ac:dyDescent="0.4">
      <c r="A8" s="9" t="s">
        <v>80</v>
      </c>
      <c r="B8" s="9">
        <v>4</v>
      </c>
      <c r="C8" s="10">
        <v>517206</v>
      </c>
      <c r="D8" s="10">
        <v>796590</v>
      </c>
      <c r="E8" s="25">
        <f t="shared" si="0"/>
        <v>13.156196526740624</v>
      </c>
      <c r="F8" s="25">
        <f t="shared" si="1"/>
        <v>13.588095396299142</v>
      </c>
      <c r="G8" s="9"/>
    </row>
    <row r="9" spans="1:7" x14ac:dyDescent="0.4">
      <c r="A9" s="9" t="s">
        <v>81</v>
      </c>
      <c r="B9" s="9">
        <v>5</v>
      </c>
      <c r="C9" s="10">
        <v>513195</v>
      </c>
      <c r="D9" s="10">
        <v>791013</v>
      </c>
      <c r="E9" s="25">
        <f t="shared" si="0"/>
        <v>13.148411168885822</v>
      </c>
      <c r="F9" s="25">
        <f t="shared" si="1"/>
        <v>13.58106968150728</v>
      </c>
      <c r="G9" s="26" t="s">
        <v>382</v>
      </c>
    </row>
    <row r="10" spans="1:7" x14ac:dyDescent="0.4">
      <c r="A10" s="9" t="s">
        <v>82</v>
      </c>
      <c r="B10" s="9">
        <v>6</v>
      </c>
      <c r="C10" s="10">
        <v>505443</v>
      </c>
      <c r="D10" s="10">
        <v>795777</v>
      </c>
      <c r="E10" s="25">
        <f t="shared" si="0"/>
        <v>13.133190551440899</v>
      </c>
      <c r="F10" s="25">
        <f t="shared" si="1"/>
        <v>13.587074274823198</v>
      </c>
      <c r="G10" s="26" t="s">
        <v>382</v>
      </c>
    </row>
    <row r="11" spans="1:7" x14ac:dyDescent="0.4">
      <c r="A11" s="9" t="s">
        <v>83</v>
      </c>
      <c r="B11" s="9">
        <v>7</v>
      </c>
      <c r="C11" s="10">
        <v>498656</v>
      </c>
      <c r="D11" s="10">
        <v>788055</v>
      </c>
      <c r="E11" s="25">
        <f t="shared" si="0"/>
        <v>13.119671758245341</v>
      </c>
      <c r="F11" s="25">
        <f t="shared" si="1"/>
        <v>13.577323163358637</v>
      </c>
      <c r="G11" s="26" t="s">
        <v>382</v>
      </c>
    </row>
    <row r="12" spans="1:7" x14ac:dyDescent="0.4">
      <c r="A12" s="9" t="s">
        <v>84</v>
      </c>
      <c r="B12" s="9">
        <v>8</v>
      </c>
      <c r="C12" s="10">
        <v>489670</v>
      </c>
      <c r="D12" s="10">
        <v>777550</v>
      </c>
      <c r="E12" s="25">
        <f t="shared" si="0"/>
        <v>13.101486973816675</v>
      </c>
      <c r="F12" s="25">
        <f t="shared" si="1"/>
        <v>13.563903229649483</v>
      </c>
      <c r="G12" s="26" t="s">
        <v>382</v>
      </c>
    </row>
    <row r="13" spans="1:7" x14ac:dyDescent="0.4">
      <c r="A13" s="9" t="s">
        <v>85</v>
      </c>
      <c r="B13" s="9">
        <v>9</v>
      </c>
      <c r="C13" s="10">
        <v>482842</v>
      </c>
      <c r="D13" s="10">
        <v>770876</v>
      </c>
      <c r="E13" s="25">
        <f t="shared" si="0"/>
        <v>13.087444756965377</v>
      </c>
      <c r="F13" s="25">
        <f t="shared" si="1"/>
        <v>13.555282809520129</v>
      </c>
      <c r="G13" s="26" t="s">
        <v>382</v>
      </c>
    </row>
    <row r="14" spans="1:7" x14ac:dyDescent="0.4">
      <c r="A14" s="9" t="s">
        <v>86</v>
      </c>
      <c r="B14" s="9">
        <v>10</v>
      </c>
      <c r="C14" s="10">
        <v>473223</v>
      </c>
      <c r="D14" s="10">
        <v>767616</v>
      </c>
      <c r="E14" s="25">
        <f t="shared" si="0"/>
        <v>13.067322015146086</v>
      </c>
      <c r="F14" s="25">
        <f t="shared" si="1"/>
        <v>13.551044887088127</v>
      </c>
      <c r="G14" s="26" t="s">
        <v>382</v>
      </c>
    </row>
    <row r="15" spans="1:7" x14ac:dyDescent="0.4">
      <c r="A15" s="9" t="s">
        <v>87</v>
      </c>
      <c r="B15" s="9">
        <v>11</v>
      </c>
      <c r="C15" s="10">
        <v>466143</v>
      </c>
      <c r="D15" s="10">
        <v>759137</v>
      </c>
      <c r="E15" s="25">
        <f t="shared" si="0"/>
        <v>13.052247732986539</v>
      </c>
      <c r="F15" s="25">
        <f t="shared" si="1"/>
        <v>13.539937540748245</v>
      </c>
      <c r="G15" s="26" t="s">
        <v>382</v>
      </c>
    </row>
    <row r="16" spans="1:7" x14ac:dyDescent="0.4">
      <c r="A16" s="9" t="s">
        <v>88</v>
      </c>
      <c r="B16" s="9">
        <v>12</v>
      </c>
      <c r="C16" s="10">
        <v>455695</v>
      </c>
      <c r="D16" s="10">
        <v>749840</v>
      </c>
      <c r="E16" s="25">
        <f t="shared" si="0"/>
        <v>13.029579005060992</v>
      </c>
      <c r="F16" s="25">
        <f t="shared" si="1"/>
        <v>13.527615129420367</v>
      </c>
      <c r="G16" s="26" t="s">
        <v>382</v>
      </c>
    </row>
    <row r="17" spans="1:7" x14ac:dyDescent="0.4">
      <c r="A17" s="9" t="s">
        <v>89</v>
      </c>
      <c r="B17" s="9">
        <v>13</v>
      </c>
      <c r="C17" s="10">
        <v>452439</v>
      </c>
      <c r="D17" s="10">
        <v>742456</v>
      </c>
      <c r="E17" s="25">
        <f t="shared" si="0"/>
        <v>13.022408226405053</v>
      </c>
      <c r="F17" s="25">
        <f t="shared" si="1"/>
        <v>13.517718888643833</v>
      </c>
      <c r="G17" s="26" t="s">
        <v>382</v>
      </c>
    </row>
    <row r="18" spans="1:7" x14ac:dyDescent="0.4">
      <c r="A18" s="9" t="s">
        <v>90</v>
      </c>
      <c r="B18" s="9">
        <v>14</v>
      </c>
      <c r="C18" s="10">
        <v>445450</v>
      </c>
      <c r="D18" s="10">
        <v>741842</v>
      </c>
      <c r="E18" s="25">
        <f t="shared" si="0"/>
        <v>13.00684028614879</v>
      </c>
      <c r="F18" s="25">
        <f t="shared" si="1"/>
        <v>13.516891561469611</v>
      </c>
      <c r="G18" s="26" t="s">
        <v>383</v>
      </c>
    </row>
    <row r="19" spans="1:7" x14ac:dyDescent="0.4">
      <c r="A19" s="9" t="s">
        <v>91</v>
      </c>
      <c r="B19" s="9">
        <v>15</v>
      </c>
      <c r="C19" s="10">
        <v>441954</v>
      </c>
      <c r="D19" s="10">
        <v>737357</v>
      </c>
      <c r="E19" s="25">
        <f t="shared" si="0"/>
        <v>12.998961083245737</v>
      </c>
      <c r="F19" s="25">
        <f t="shared" si="1"/>
        <v>13.510827450090321</v>
      </c>
      <c r="G19" s="26" t="s">
        <v>383</v>
      </c>
    </row>
    <row r="20" spans="1:7" x14ac:dyDescent="0.4">
      <c r="A20" s="9" t="s">
        <v>92</v>
      </c>
      <c r="B20" s="9">
        <v>16</v>
      </c>
      <c r="C20" s="10">
        <v>434270</v>
      </c>
      <c r="D20" s="10">
        <v>727043</v>
      </c>
      <c r="E20" s="25">
        <f t="shared" si="0"/>
        <v>12.981421739461901</v>
      </c>
      <c r="F20" s="25">
        <f t="shared" si="1"/>
        <v>13.496740901946724</v>
      </c>
      <c r="G20" s="26" t="s">
        <v>383</v>
      </c>
    </row>
    <row r="22" spans="1:7" x14ac:dyDescent="0.4">
      <c r="A22" s="3" t="s">
        <v>384</v>
      </c>
    </row>
    <row r="23" spans="1:7" x14ac:dyDescent="0.4">
      <c r="A23" s="12" t="s">
        <v>385</v>
      </c>
      <c r="B23" s="27">
        <f>AVERAGE(E9:E17)</f>
        <v>13.084640243216976</v>
      </c>
    </row>
    <row r="24" spans="1:7" x14ac:dyDescent="0.4">
      <c r="A24" s="12" t="s">
        <v>386</v>
      </c>
      <c r="B24" s="27">
        <f>AVERAGE(E18:E20)</f>
        <v>12.995741036285475</v>
      </c>
    </row>
    <row r="25" spans="1:7" x14ac:dyDescent="0.4">
      <c r="A25" s="12" t="s">
        <v>387</v>
      </c>
      <c r="B25" s="27">
        <f>AVERAGE(F9:F17)</f>
        <v>13.5556632894177</v>
      </c>
    </row>
    <row r="26" spans="1:7" x14ac:dyDescent="0.4">
      <c r="A26" s="12" t="s">
        <v>388</v>
      </c>
      <c r="B26" s="27">
        <f>AVERAGE(F18:F20)</f>
        <v>13.508153304502217</v>
      </c>
    </row>
    <row r="27" spans="1:7" x14ac:dyDescent="0.4">
      <c r="A27" s="12" t="s">
        <v>389</v>
      </c>
      <c r="B27" s="28">
        <f>B24-B23</f>
        <v>-8.8899206931500885E-2</v>
      </c>
    </row>
    <row r="28" spans="1:7" x14ac:dyDescent="0.4">
      <c r="A28" s="12" t="s">
        <v>390</v>
      </c>
      <c r="B28" s="28">
        <f>B26-B25</f>
        <v>-4.7509984915482306E-2</v>
      </c>
    </row>
    <row r="29" spans="1:7" x14ac:dyDescent="0.4">
      <c r="A29" s="29" t="s">
        <v>391</v>
      </c>
      <c r="B29" s="30">
        <f>B27-B28</f>
        <v>-4.1389222016018579E-2</v>
      </c>
      <c r="C29" s="29" t="s">
        <v>392</v>
      </c>
      <c r="D29" s="31">
        <f>B29*100</f>
        <v>-4.1389222016018579</v>
      </c>
    </row>
    <row r="31" spans="1:7" x14ac:dyDescent="0.4">
      <c r="A31" s="3" t="s">
        <v>393</v>
      </c>
    </row>
    <row r="32" spans="1:7" x14ac:dyDescent="0.4">
      <c r="A32" s="12" t="s">
        <v>394</v>
      </c>
      <c r="B32" s="32">
        <f>SLOPE(E5:E17,B5:B17)*100</f>
        <v>-1.5056946798722113</v>
      </c>
    </row>
    <row r="33" spans="1:2" x14ac:dyDescent="0.4">
      <c r="A33" s="12" t="s">
        <v>395</v>
      </c>
      <c r="B33" s="33">
        <f>SLOPE(F5:F17,B5:B17)*100</f>
        <v>-0.71034647608111856</v>
      </c>
    </row>
    <row r="34" spans="1:2" x14ac:dyDescent="0.4">
      <c r="A34" s="12" t="s">
        <v>396</v>
      </c>
      <c r="B34" s="32">
        <f>B32-B33</f>
        <v>-0.79534820379109272</v>
      </c>
    </row>
    <row r="35" spans="1:2" x14ac:dyDescent="0.4">
      <c r="A35" s="2" t="s">
        <v>397</v>
      </c>
    </row>
  </sheetData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9"/>
  <sheetViews>
    <sheetView workbookViewId="0">
      <pane ySplit="3" topLeftCell="A4" activePane="bottomLeft" state="frozen"/>
      <selection pane="bottomLeft" activeCell="I26" sqref="I26:N30"/>
    </sheetView>
  </sheetViews>
  <sheetFormatPr defaultRowHeight="15.45" x14ac:dyDescent="0.4"/>
  <cols>
    <col min="1" max="1" width="10" customWidth="1"/>
    <col min="2" max="2" width="8" customWidth="1"/>
    <col min="3" max="3" width="14" customWidth="1"/>
    <col min="4" max="4" width="12" customWidth="1"/>
    <col min="5" max="7" width="6" customWidth="1"/>
    <col min="9" max="14" width="16" customWidth="1"/>
  </cols>
  <sheetData>
    <row r="1" spans="1:10" ht="20.149999999999999" x14ac:dyDescent="0.55000000000000004">
      <c r="A1" s="7" t="s">
        <v>398</v>
      </c>
    </row>
    <row r="2" spans="1:10" x14ac:dyDescent="0.4">
      <c r="A2" s="2" t="s">
        <v>399</v>
      </c>
    </row>
    <row r="4" spans="1:10" x14ac:dyDescent="0.4">
      <c r="A4" s="8" t="s">
        <v>38</v>
      </c>
      <c r="B4" s="8" t="s">
        <v>376</v>
      </c>
      <c r="C4" s="8" t="s">
        <v>125</v>
      </c>
      <c r="D4" s="8" t="s">
        <v>400</v>
      </c>
      <c r="E4" s="8" t="s">
        <v>401</v>
      </c>
      <c r="F4" s="8" t="s">
        <v>402</v>
      </c>
      <c r="G4" s="8" t="s">
        <v>403</v>
      </c>
      <c r="I4" s="3" t="s">
        <v>404</v>
      </c>
    </row>
    <row r="5" spans="1:10" x14ac:dyDescent="0.4">
      <c r="A5" s="9" t="s">
        <v>53</v>
      </c>
      <c r="B5" s="9">
        <v>1</v>
      </c>
      <c r="C5" s="10">
        <v>9912887</v>
      </c>
      <c r="E5" s="9">
        <f t="shared" ref="E5:E36" si="0">IF(A5="","",IF(RIGHT(A5,2)="Q2",1,0))</f>
        <v>0</v>
      </c>
      <c r="F5" s="9">
        <f t="shared" ref="F5:F36" si="1">IF(RIGHT(A5,2)="Q3",1,0)</f>
        <v>0</v>
      </c>
      <c r="G5" s="9">
        <f t="shared" ref="G5:G36" si="2">IF(RIGHT(A5,2)="Q4",1,0)</f>
        <v>0</v>
      </c>
      <c r="I5" s="12" t="s">
        <v>405</v>
      </c>
      <c r="J5" s="34">
        <f>COUNT(D6:D69)</f>
        <v>64</v>
      </c>
    </row>
    <row r="6" spans="1:10" x14ac:dyDescent="0.4">
      <c r="A6" s="9" t="s">
        <v>54</v>
      </c>
      <c r="B6" s="9">
        <v>2</v>
      </c>
      <c r="C6" s="10">
        <v>9973864</v>
      </c>
      <c r="D6" s="35">
        <f t="shared" ref="D6:D37" si="3">(C6-C5)/C5*100</f>
        <v>0.61512856950755113</v>
      </c>
      <c r="E6" s="9">
        <f t="shared" si="0"/>
        <v>1</v>
      </c>
      <c r="F6" s="9">
        <f t="shared" si="1"/>
        <v>0</v>
      </c>
      <c r="G6" s="9">
        <f t="shared" si="2"/>
        <v>0</v>
      </c>
      <c r="I6" s="12" t="s">
        <v>406</v>
      </c>
      <c r="J6" s="36">
        <f>INDEX(LINEST(D6:D69,E6:G69,TRUE,TRUE),1,4)</f>
        <v>0.41251332178054656</v>
      </c>
    </row>
    <row r="7" spans="1:10" x14ac:dyDescent="0.4">
      <c r="A7" s="9" t="s">
        <v>55</v>
      </c>
      <c r="B7" s="9">
        <v>3</v>
      </c>
      <c r="C7" s="10">
        <v>10064043</v>
      </c>
      <c r="D7" s="35">
        <f t="shared" si="3"/>
        <v>0.90415309452785797</v>
      </c>
      <c r="E7" s="9">
        <f t="shared" si="0"/>
        <v>0</v>
      </c>
      <c r="F7" s="9">
        <f t="shared" si="1"/>
        <v>1</v>
      </c>
      <c r="G7" s="9">
        <f t="shared" si="2"/>
        <v>0</v>
      </c>
      <c r="I7" s="12" t="s">
        <v>407</v>
      </c>
      <c r="J7" s="36">
        <f>INDEX(LINEST(D6:D69,E6:G69,TRUE,TRUE),1,3)</f>
        <v>-4.9092121703432127E-2</v>
      </c>
    </row>
    <row r="8" spans="1:10" x14ac:dyDescent="0.4">
      <c r="A8" s="9" t="s">
        <v>56</v>
      </c>
      <c r="B8" s="9">
        <v>4</v>
      </c>
      <c r="C8" s="10">
        <v>10117522</v>
      </c>
      <c r="D8" s="35">
        <f t="shared" si="3"/>
        <v>0.53138683926529329</v>
      </c>
      <c r="E8" s="9">
        <f t="shared" si="0"/>
        <v>0</v>
      </c>
      <c r="F8" s="9">
        <f t="shared" si="1"/>
        <v>0</v>
      </c>
      <c r="G8" s="9">
        <f t="shared" si="2"/>
        <v>1</v>
      </c>
      <c r="I8" s="12" t="s">
        <v>408</v>
      </c>
      <c r="J8" s="36">
        <f>INDEX(LINEST(D6:D69,E6:G69,TRUE,TRUE),1,2)</f>
        <v>0.14454232372998987</v>
      </c>
    </row>
    <row r="9" spans="1:10" x14ac:dyDescent="0.4">
      <c r="A9" s="9" t="s">
        <v>57</v>
      </c>
      <c r="B9" s="9">
        <v>5</v>
      </c>
      <c r="C9" s="10">
        <v>10168295</v>
      </c>
      <c r="D9" s="35">
        <f t="shared" si="3"/>
        <v>0.50183236567214773</v>
      </c>
      <c r="E9" s="9">
        <f t="shared" si="0"/>
        <v>0</v>
      </c>
      <c r="F9" s="9">
        <f t="shared" si="1"/>
        <v>0</v>
      </c>
      <c r="G9" s="9">
        <f t="shared" si="2"/>
        <v>0</v>
      </c>
      <c r="I9" s="12" t="s">
        <v>409</v>
      </c>
      <c r="J9" s="36">
        <f>INDEX(LINEST(D6:D69,E6:G69,TRUE,TRUE),1,1)</f>
        <v>-0.14708608425454328</v>
      </c>
    </row>
    <row r="10" spans="1:10" x14ac:dyDescent="0.4">
      <c r="A10" s="9" t="s">
        <v>58</v>
      </c>
      <c r="B10" s="9">
        <v>6</v>
      </c>
      <c r="C10" s="10">
        <v>10255675</v>
      </c>
      <c r="D10" s="35">
        <f t="shared" si="3"/>
        <v>0.85933777491703378</v>
      </c>
      <c r="E10" s="9">
        <f t="shared" si="0"/>
        <v>1</v>
      </c>
      <c r="F10" s="9">
        <f t="shared" si="1"/>
        <v>0</v>
      </c>
      <c r="G10" s="9">
        <f t="shared" si="2"/>
        <v>0</v>
      </c>
      <c r="I10" s="12" t="s">
        <v>410</v>
      </c>
      <c r="J10" s="37">
        <f>INDEX(LINEST(D6:D69,E6:G69,TRUE,TRUE),2,3)</f>
        <v>0.12382659091182778</v>
      </c>
    </row>
    <row r="11" spans="1:10" x14ac:dyDescent="0.4">
      <c r="A11" s="9" t="s">
        <v>59</v>
      </c>
      <c r="B11" s="9">
        <v>7</v>
      </c>
      <c r="C11" s="10">
        <v>10353096</v>
      </c>
      <c r="D11" s="35">
        <f t="shared" si="3"/>
        <v>0.94992284759413703</v>
      </c>
      <c r="E11" s="9">
        <f t="shared" si="0"/>
        <v>0</v>
      </c>
      <c r="F11" s="9">
        <f t="shared" si="1"/>
        <v>1</v>
      </c>
      <c r="G11" s="9">
        <f t="shared" si="2"/>
        <v>0</v>
      </c>
      <c r="I11" s="12" t="s">
        <v>411</v>
      </c>
      <c r="J11" s="37">
        <f>INDEX(LINEST(D6:D69,E6:G69,TRUE,TRUE),2,2)</f>
        <v>0.12382659091182767</v>
      </c>
    </row>
    <row r="12" spans="1:10" x14ac:dyDescent="0.4">
      <c r="A12" s="9" t="s">
        <v>60</v>
      </c>
      <c r="B12" s="9">
        <v>8</v>
      </c>
      <c r="C12" s="10">
        <v>10403680</v>
      </c>
      <c r="D12" s="35">
        <f t="shared" si="3"/>
        <v>0.48858814793178779</v>
      </c>
      <c r="E12" s="9">
        <f t="shared" si="0"/>
        <v>0</v>
      </c>
      <c r="F12" s="9">
        <f t="shared" si="1"/>
        <v>0</v>
      </c>
      <c r="G12" s="9">
        <f t="shared" si="2"/>
        <v>1</v>
      </c>
      <c r="I12" s="12" t="s">
        <v>412</v>
      </c>
      <c r="J12" s="37">
        <f>INDEX(LINEST(D6:D69,E6:G69,TRUE,TRUE),2,1)</f>
        <v>0.12382659091182777</v>
      </c>
    </row>
    <row r="13" spans="1:10" x14ac:dyDescent="0.4">
      <c r="A13" s="9" t="s">
        <v>61</v>
      </c>
      <c r="B13" s="9">
        <v>9</v>
      </c>
      <c r="C13" s="10">
        <v>10455462</v>
      </c>
      <c r="D13" s="35">
        <f t="shared" si="3"/>
        <v>0.49772772711194502</v>
      </c>
      <c r="E13" s="9">
        <f t="shared" si="0"/>
        <v>0</v>
      </c>
      <c r="F13" s="9">
        <f t="shared" si="1"/>
        <v>0</v>
      </c>
      <c r="G13" s="9">
        <f t="shared" si="2"/>
        <v>0</v>
      </c>
      <c r="I13" s="12" t="s">
        <v>413</v>
      </c>
      <c r="J13" s="37">
        <f>INDEX(LINEST(D6:D69,E6:G69,TRUE,TRUE),3,1)</f>
        <v>8.7792371660933011E-2</v>
      </c>
    </row>
    <row r="14" spans="1:10" x14ac:dyDescent="0.4">
      <c r="A14" s="9" t="s">
        <v>62</v>
      </c>
      <c r="B14" s="9">
        <v>10</v>
      </c>
      <c r="C14" s="10">
        <v>10587828</v>
      </c>
      <c r="D14" s="35">
        <f t="shared" si="3"/>
        <v>1.2659985756726964</v>
      </c>
      <c r="E14" s="9">
        <f t="shared" si="0"/>
        <v>1</v>
      </c>
      <c r="F14" s="9">
        <f t="shared" si="1"/>
        <v>0</v>
      </c>
      <c r="G14" s="9">
        <f t="shared" si="2"/>
        <v>0</v>
      </c>
      <c r="I14" s="12" t="s">
        <v>414</v>
      </c>
      <c r="J14" s="37">
        <f>INDEX(LINEST(D6:D69,E6:G69,TRUE,TRUE),4,1)</f>
        <v>1.9248330957456241</v>
      </c>
    </row>
    <row r="15" spans="1:10" x14ac:dyDescent="0.4">
      <c r="A15" s="9" t="s">
        <v>63</v>
      </c>
      <c r="B15" s="9">
        <v>11</v>
      </c>
      <c r="C15" s="10">
        <v>10670956</v>
      </c>
      <c r="D15" s="35">
        <f t="shared" si="3"/>
        <v>0.78512797903403797</v>
      </c>
      <c r="E15" s="9">
        <f t="shared" si="0"/>
        <v>0</v>
      </c>
      <c r="F15" s="9">
        <f t="shared" si="1"/>
        <v>1</v>
      </c>
      <c r="G15" s="9">
        <f t="shared" si="2"/>
        <v>0</v>
      </c>
      <c r="I15" s="12" t="s">
        <v>415</v>
      </c>
      <c r="J15" s="34">
        <f>INDEX(LINEST(D6:D69,E6:G69,TRUE,TRUE),4,2)</f>
        <v>60</v>
      </c>
    </row>
    <row r="16" spans="1:10" x14ac:dyDescent="0.4">
      <c r="A16" s="9" t="s">
        <v>64</v>
      </c>
      <c r="B16" s="9">
        <v>12</v>
      </c>
      <c r="C16" s="10">
        <v>10710319</v>
      </c>
      <c r="D16" s="35">
        <f t="shared" si="3"/>
        <v>0.36887978921476205</v>
      </c>
      <c r="E16" s="9">
        <f t="shared" si="0"/>
        <v>0</v>
      </c>
      <c r="F16" s="9">
        <f t="shared" si="1"/>
        <v>0</v>
      </c>
      <c r="G16" s="9">
        <f t="shared" si="2"/>
        <v>1</v>
      </c>
      <c r="I16" s="12" t="s">
        <v>416</v>
      </c>
      <c r="J16" s="38">
        <f>TDIST(ABS(J7/J10),J15,2)</f>
        <v>0.69317324733007668</v>
      </c>
    </row>
    <row r="17" spans="1:14" x14ac:dyDescent="0.4">
      <c r="A17" s="9" t="s">
        <v>65</v>
      </c>
      <c r="B17" s="9">
        <v>13</v>
      </c>
      <c r="C17" s="10">
        <v>10763182</v>
      </c>
      <c r="D17" s="35">
        <f t="shared" si="3"/>
        <v>0.49357073304726035</v>
      </c>
      <c r="E17" s="9">
        <f t="shared" si="0"/>
        <v>0</v>
      </c>
      <c r="F17" s="9">
        <f t="shared" si="1"/>
        <v>0</v>
      </c>
      <c r="G17" s="9">
        <f t="shared" si="2"/>
        <v>0</v>
      </c>
      <c r="I17" s="12" t="s">
        <v>417</v>
      </c>
      <c r="J17" s="38">
        <f>TDIST(ABS(J8/J11),J15,2)</f>
        <v>0.24770884941891108</v>
      </c>
    </row>
    <row r="18" spans="1:14" x14ac:dyDescent="0.4">
      <c r="A18" s="9" t="s">
        <v>66</v>
      </c>
      <c r="B18" s="9">
        <v>14</v>
      </c>
      <c r="C18" s="10">
        <v>10850227</v>
      </c>
      <c r="D18" s="35">
        <f t="shared" si="3"/>
        <v>0.80872924010761871</v>
      </c>
      <c r="E18" s="9">
        <f t="shared" si="0"/>
        <v>1</v>
      </c>
      <c r="F18" s="9">
        <f t="shared" si="1"/>
        <v>0</v>
      </c>
      <c r="G18" s="9">
        <f t="shared" si="2"/>
        <v>0</v>
      </c>
      <c r="I18" s="12" t="s">
        <v>418</v>
      </c>
      <c r="J18" s="38">
        <f>TDIST(ABS(J9/J12),J15,2)</f>
        <v>0.23957772070413696</v>
      </c>
    </row>
    <row r="19" spans="1:14" x14ac:dyDescent="0.4">
      <c r="A19" s="9" t="s">
        <v>67</v>
      </c>
      <c r="B19" s="9">
        <v>15</v>
      </c>
      <c r="C19" s="10">
        <v>10926523</v>
      </c>
      <c r="D19" s="35">
        <f t="shared" si="3"/>
        <v>0.70317422852074896</v>
      </c>
      <c r="E19" s="9">
        <f t="shared" si="0"/>
        <v>0</v>
      </c>
      <c r="F19" s="9">
        <f t="shared" si="1"/>
        <v>1</v>
      </c>
      <c r="G19" s="9">
        <f t="shared" si="2"/>
        <v>0</v>
      </c>
      <c r="I19" s="12" t="s">
        <v>419</v>
      </c>
      <c r="J19" s="38">
        <f>FDIST(J14,3,J15)</f>
        <v>0.13517920346305667</v>
      </c>
    </row>
    <row r="20" spans="1:14" x14ac:dyDescent="0.4">
      <c r="A20" s="9" t="s">
        <v>68</v>
      </c>
      <c r="B20" s="9">
        <v>16</v>
      </c>
      <c r="C20" s="10">
        <v>10958428</v>
      </c>
      <c r="D20" s="35">
        <f t="shared" si="3"/>
        <v>0.29199590757279326</v>
      </c>
      <c r="E20" s="9">
        <f t="shared" si="0"/>
        <v>0</v>
      </c>
      <c r="F20" s="9">
        <f t="shared" si="1"/>
        <v>0</v>
      </c>
      <c r="G20" s="9">
        <f t="shared" si="2"/>
        <v>1</v>
      </c>
    </row>
    <row r="21" spans="1:14" x14ac:dyDescent="0.4">
      <c r="A21" s="9" t="s">
        <v>69</v>
      </c>
      <c r="B21" s="9">
        <v>17</v>
      </c>
      <c r="C21" s="10">
        <v>11004273</v>
      </c>
      <c r="D21" s="35">
        <f t="shared" si="3"/>
        <v>0.41835380038085757</v>
      </c>
      <c r="E21" s="9">
        <f t="shared" si="0"/>
        <v>0</v>
      </c>
      <c r="F21" s="9">
        <f t="shared" si="1"/>
        <v>0</v>
      </c>
      <c r="G21" s="9">
        <f t="shared" si="2"/>
        <v>0</v>
      </c>
      <c r="I21" s="3" t="s">
        <v>420</v>
      </c>
    </row>
    <row r="22" spans="1:14" x14ac:dyDescent="0.4">
      <c r="A22" s="9" t="s">
        <v>70</v>
      </c>
      <c r="B22" s="9">
        <v>18</v>
      </c>
      <c r="C22" s="10">
        <v>11091439</v>
      </c>
      <c r="D22" s="35">
        <f t="shared" si="3"/>
        <v>0.79211048290059682</v>
      </c>
      <c r="E22" s="9">
        <f t="shared" si="0"/>
        <v>1</v>
      </c>
      <c r="F22" s="9">
        <f t="shared" si="1"/>
        <v>0</v>
      </c>
      <c r="G22" s="9">
        <f t="shared" si="2"/>
        <v>0</v>
      </c>
      <c r="I22" s="12" t="s">
        <v>421</v>
      </c>
      <c r="J22" s="39">
        <f>RSQ(D6:D69,B6:B69)</f>
        <v>2.32833761067122E-3</v>
      </c>
    </row>
    <row r="23" spans="1:14" x14ac:dyDescent="0.4">
      <c r="A23" s="9" t="s">
        <v>71</v>
      </c>
      <c r="B23" s="9">
        <v>19</v>
      </c>
      <c r="C23" s="10">
        <v>11152243</v>
      </c>
      <c r="D23" s="35">
        <f t="shared" si="3"/>
        <v>0.54820659429313001</v>
      </c>
      <c r="E23" s="9">
        <f t="shared" si="0"/>
        <v>0</v>
      </c>
      <c r="F23" s="9">
        <f t="shared" si="1"/>
        <v>1</v>
      </c>
      <c r="G23" s="9">
        <f t="shared" si="2"/>
        <v>0</v>
      </c>
      <c r="I23" s="12" t="s">
        <v>422</v>
      </c>
      <c r="J23" s="40">
        <f>AVERAGE(D6:D69)</f>
        <v>0.3996043512235502</v>
      </c>
    </row>
    <row r="24" spans="1:14" x14ac:dyDescent="0.4">
      <c r="A24" s="9" t="s">
        <v>72</v>
      </c>
      <c r="B24" s="9">
        <v>20</v>
      </c>
      <c r="C24" s="10">
        <v>11180711</v>
      </c>
      <c r="D24" s="35">
        <f t="shared" si="3"/>
        <v>0.25526703462254186</v>
      </c>
      <c r="E24" s="9">
        <f t="shared" si="0"/>
        <v>0</v>
      </c>
      <c r="F24" s="9">
        <f t="shared" si="1"/>
        <v>0</v>
      </c>
      <c r="G24" s="9">
        <f t="shared" si="2"/>
        <v>1</v>
      </c>
      <c r="I24" s="12" t="s">
        <v>423</v>
      </c>
      <c r="J24" s="40">
        <f>STDEV(D6:D69)</f>
        <v>0.35786350448036364</v>
      </c>
    </row>
    <row r="25" spans="1:14" x14ac:dyDescent="0.4">
      <c r="A25" s="9" t="s">
        <v>73</v>
      </c>
      <c r="B25" s="9">
        <v>21</v>
      </c>
      <c r="C25" s="10">
        <v>11229284</v>
      </c>
      <c r="D25" s="35">
        <f t="shared" si="3"/>
        <v>0.43443569912503777</v>
      </c>
      <c r="E25" s="9">
        <f t="shared" si="0"/>
        <v>0</v>
      </c>
      <c r="F25" s="9">
        <f t="shared" si="1"/>
        <v>0</v>
      </c>
      <c r="G25" s="9">
        <f t="shared" si="2"/>
        <v>0</v>
      </c>
    </row>
    <row r="26" spans="1:14" x14ac:dyDescent="0.4">
      <c r="A26" s="9" t="s">
        <v>74</v>
      </c>
      <c r="B26" s="9">
        <v>22</v>
      </c>
      <c r="C26" s="10">
        <v>11276328</v>
      </c>
      <c r="D26" s="35">
        <f t="shared" si="3"/>
        <v>0.4189403349314168</v>
      </c>
      <c r="E26" s="9">
        <f t="shared" si="0"/>
        <v>1</v>
      </c>
      <c r="F26" s="9">
        <f t="shared" si="1"/>
        <v>0</v>
      </c>
      <c r="G26" s="9">
        <f t="shared" si="2"/>
        <v>0</v>
      </c>
      <c r="I26" s="41" t="s">
        <v>424</v>
      </c>
      <c r="J26" s="42"/>
      <c r="K26" s="42"/>
      <c r="L26" s="42"/>
      <c r="M26" s="42"/>
      <c r="N26" s="42"/>
    </row>
    <row r="27" spans="1:14" x14ac:dyDescent="0.4">
      <c r="A27" s="9" t="s">
        <v>75</v>
      </c>
      <c r="B27" s="9">
        <v>23</v>
      </c>
      <c r="C27" s="10">
        <v>11302105</v>
      </c>
      <c r="D27" s="35">
        <f t="shared" si="3"/>
        <v>0.22859391816201161</v>
      </c>
      <c r="E27" s="9">
        <f t="shared" si="0"/>
        <v>0</v>
      </c>
      <c r="F27" s="9">
        <f t="shared" si="1"/>
        <v>1</v>
      </c>
      <c r="G27" s="9">
        <f t="shared" si="2"/>
        <v>0</v>
      </c>
      <c r="I27" s="42"/>
      <c r="J27" s="42"/>
      <c r="K27" s="42"/>
      <c r="L27" s="42"/>
      <c r="M27" s="42"/>
      <c r="N27" s="42"/>
    </row>
    <row r="28" spans="1:14" x14ac:dyDescent="0.4">
      <c r="A28" s="9" t="s">
        <v>76</v>
      </c>
      <c r="B28" s="9">
        <v>24</v>
      </c>
      <c r="C28" s="10">
        <v>11308465</v>
      </c>
      <c r="D28" s="35">
        <f t="shared" si="3"/>
        <v>5.6272703182283293E-2</v>
      </c>
      <c r="E28" s="9">
        <f t="shared" si="0"/>
        <v>0</v>
      </c>
      <c r="F28" s="9">
        <f t="shared" si="1"/>
        <v>0</v>
      </c>
      <c r="G28" s="9">
        <f t="shared" si="2"/>
        <v>1</v>
      </c>
      <c r="I28" s="42"/>
      <c r="J28" s="42"/>
      <c r="K28" s="42"/>
      <c r="L28" s="42"/>
      <c r="M28" s="42"/>
      <c r="N28" s="42"/>
    </row>
    <row r="29" spans="1:14" x14ac:dyDescent="0.4">
      <c r="A29" s="9" t="s">
        <v>77</v>
      </c>
      <c r="B29" s="9">
        <v>25</v>
      </c>
      <c r="C29" s="10">
        <v>11331535</v>
      </c>
      <c r="D29" s="35">
        <f t="shared" si="3"/>
        <v>0.20400646772130432</v>
      </c>
      <c r="E29" s="9">
        <f t="shared" si="0"/>
        <v>0</v>
      </c>
      <c r="F29" s="9">
        <f t="shared" si="1"/>
        <v>0</v>
      </c>
      <c r="G29" s="9">
        <f t="shared" si="2"/>
        <v>0</v>
      </c>
      <c r="I29" s="42"/>
      <c r="J29" s="42"/>
      <c r="K29" s="42"/>
      <c r="L29" s="42"/>
      <c r="M29" s="42"/>
      <c r="N29" s="42"/>
    </row>
    <row r="30" spans="1:14" x14ac:dyDescent="0.4">
      <c r="A30" s="9" t="s">
        <v>78</v>
      </c>
      <c r="B30" s="9">
        <v>26</v>
      </c>
      <c r="C30" s="10">
        <v>11328577</v>
      </c>
      <c r="D30" s="35">
        <f t="shared" si="3"/>
        <v>-2.6104142113138249E-2</v>
      </c>
      <c r="E30" s="9">
        <f t="shared" si="0"/>
        <v>1</v>
      </c>
      <c r="F30" s="9">
        <f t="shared" si="1"/>
        <v>0</v>
      </c>
      <c r="G30" s="9">
        <f t="shared" si="2"/>
        <v>0</v>
      </c>
      <c r="I30" s="42"/>
      <c r="J30" s="42"/>
      <c r="K30" s="42"/>
      <c r="L30" s="42"/>
      <c r="M30" s="42"/>
      <c r="N30" s="42"/>
    </row>
    <row r="31" spans="1:14" x14ac:dyDescent="0.4">
      <c r="A31" s="9" t="s">
        <v>79</v>
      </c>
      <c r="B31" s="9">
        <v>27</v>
      </c>
      <c r="C31" s="10">
        <v>11335297</v>
      </c>
      <c r="D31" s="35">
        <f t="shared" si="3"/>
        <v>5.9319012440838773E-2</v>
      </c>
      <c r="E31" s="9">
        <f t="shared" si="0"/>
        <v>0</v>
      </c>
      <c r="F31" s="9">
        <f t="shared" si="1"/>
        <v>1</v>
      </c>
      <c r="G31" s="9">
        <f t="shared" si="2"/>
        <v>0</v>
      </c>
    </row>
    <row r="32" spans="1:14" x14ac:dyDescent="0.4">
      <c r="A32" s="9" t="s">
        <v>80</v>
      </c>
      <c r="B32" s="9">
        <v>28</v>
      </c>
      <c r="C32" s="10">
        <v>11327512</v>
      </c>
      <c r="D32" s="35">
        <f t="shared" si="3"/>
        <v>-6.8679276775897441E-2</v>
      </c>
      <c r="E32" s="9">
        <f t="shared" si="0"/>
        <v>0</v>
      </c>
      <c r="F32" s="9">
        <f t="shared" si="1"/>
        <v>0</v>
      </c>
      <c r="G32" s="9">
        <f t="shared" si="2"/>
        <v>1</v>
      </c>
    </row>
    <row r="33" spans="1:7" x14ac:dyDescent="0.4">
      <c r="A33" s="9" t="s">
        <v>81</v>
      </c>
      <c r="B33" s="9">
        <v>29</v>
      </c>
      <c r="C33" s="10">
        <v>11353517</v>
      </c>
      <c r="D33" s="35">
        <f t="shared" si="3"/>
        <v>0.22957380226125562</v>
      </c>
      <c r="E33" s="9">
        <f t="shared" si="0"/>
        <v>0</v>
      </c>
      <c r="F33" s="9">
        <f t="shared" si="1"/>
        <v>0</v>
      </c>
      <c r="G33" s="9">
        <f t="shared" si="2"/>
        <v>0</v>
      </c>
    </row>
    <row r="34" spans="1:7" x14ac:dyDescent="0.4">
      <c r="A34" s="9" t="s">
        <v>82</v>
      </c>
      <c r="B34" s="9">
        <v>30</v>
      </c>
      <c r="C34" s="10">
        <v>11318742</v>
      </c>
      <c r="D34" s="35">
        <f t="shared" si="3"/>
        <v>-0.30629275492343033</v>
      </c>
      <c r="E34" s="9">
        <f t="shared" si="0"/>
        <v>1</v>
      </c>
      <c r="F34" s="9">
        <f t="shared" si="1"/>
        <v>0</v>
      </c>
      <c r="G34" s="9">
        <f t="shared" si="2"/>
        <v>0</v>
      </c>
    </row>
    <row r="35" spans="1:7" x14ac:dyDescent="0.4">
      <c r="A35" s="9" t="s">
        <v>83</v>
      </c>
      <c r="B35" s="9">
        <v>31</v>
      </c>
      <c r="C35" s="10">
        <v>11318588</v>
      </c>
      <c r="D35" s="35">
        <f t="shared" si="3"/>
        <v>-1.3605752300034756E-3</v>
      </c>
      <c r="E35" s="9">
        <f t="shared" si="0"/>
        <v>0</v>
      </c>
      <c r="F35" s="9">
        <f t="shared" si="1"/>
        <v>1</v>
      </c>
      <c r="G35" s="9">
        <f t="shared" si="2"/>
        <v>0</v>
      </c>
    </row>
    <row r="36" spans="1:7" x14ac:dyDescent="0.4">
      <c r="A36" s="9" t="s">
        <v>84</v>
      </c>
      <c r="B36" s="9">
        <v>32</v>
      </c>
      <c r="C36" s="10">
        <v>11306294</v>
      </c>
      <c r="D36" s="35">
        <f t="shared" si="3"/>
        <v>-0.10861778872064254</v>
      </c>
      <c r="E36" s="9">
        <f t="shared" si="0"/>
        <v>0</v>
      </c>
      <c r="F36" s="9">
        <f t="shared" si="1"/>
        <v>0</v>
      </c>
      <c r="G36" s="9">
        <f t="shared" si="2"/>
        <v>1</v>
      </c>
    </row>
    <row r="37" spans="1:7" x14ac:dyDescent="0.4">
      <c r="A37" s="9" t="s">
        <v>85</v>
      </c>
      <c r="B37" s="9">
        <v>33</v>
      </c>
      <c r="C37" s="10">
        <v>11316775</v>
      </c>
      <c r="D37" s="35">
        <f t="shared" si="3"/>
        <v>9.2700578987243737E-2</v>
      </c>
      <c r="E37" s="9">
        <f t="shared" ref="E37:E69" si="4">IF(A37="","",IF(RIGHT(A37,2)="Q2",1,0))</f>
        <v>0</v>
      </c>
      <c r="F37" s="9">
        <f t="shared" ref="F37:F69" si="5">IF(RIGHT(A37,2)="Q3",1,0)</f>
        <v>0</v>
      </c>
      <c r="G37" s="9">
        <f t="shared" ref="G37:G69" si="6">IF(RIGHT(A37,2)="Q4",1,0)</f>
        <v>0</v>
      </c>
    </row>
    <row r="38" spans="1:7" x14ac:dyDescent="0.4">
      <c r="A38" s="9" t="s">
        <v>86</v>
      </c>
      <c r="B38" s="9">
        <v>34</v>
      </c>
      <c r="C38" s="10">
        <v>11259263</v>
      </c>
      <c r="D38" s="35">
        <f t="shared" ref="D38:D69" si="7">(C38-C37)/C37*100</f>
        <v>-0.50820132060591472</v>
      </c>
      <c r="E38" s="9">
        <f t="shared" si="4"/>
        <v>1</v>
      </c>
      <c r="F38" s="9">
        <f t="shared" si="5"/>
        <v>0</v>
      </c>
      <c r="G38" s="9">
        <f t="shared" si="6"/>
        <v>0</v>
      </c>
    </row>
    <row r="39" spans="1:7" x14ac:dyDescent="0.4">
      <c r="A39" s="9" t="s">
        <v>87</v>
      </c>
      <c r="B39" s="9">
        <v>35</v>
      </c>
      <c r="C39" s="10">
        <v>11254007</v>
      </c>
      <c r="D39" s="35">
        <f t="shared" si="7"/>
        <v>-4.6681563438033202E-2</v>
      </c>
      <c r="E39" s="9">
        <f t="shared" si="4"/>
        <v>0</v>
      </c>
      <c r="F39" s="9">
        <f t="shared" si="5"/>
        <v>1</v>
      </c>
      <c r="G39" s="9">
        <f t="shared" si="6"/>
        <v>0</v>
      </c>
    </row>
    <row r="40" spans="1:7" x14ac:dyDescent="0.4">
      <c r="A40" s="9" t="s">
        <v>88</v>
      </c>
      <c r="B40" s="9">
        <v>36</v>
      </c>
      <c r="C40" s="10">
        <v>11241637</v>
      </c>
      <c r="D40" s="35">
        <f t="shared" si="7"/>
        <v>-0.10991640577440551</v>
      </c>
      <c r="E40" s="9">
        <f t="shared" si="4"/>
        <v>0</v>
      </c>
      <c r="F40" s="9">
        <f t="shared" si="5"/>
        <v>0</v>
      </c>
      <c r="G40" s="9">
        <f t="shared" si="6"/>
        <v>1</v>
      </c>
    </row>
    <row r="41" spans="1:7" x14ac:dyDescent="0.4">
      <c r="A41" s="9" t="s">
        <v>89</v>
      </c>
      <c r="B41" s="9">
        <v>37</v>
      </c>
      <c r="C41" s="10">
        <v>11256108</v>
      </c>
      <c r="D41" s="35">
        <f t="shared" si="7"/>
        <v>0.128726803756428</v>
      </c>
      <c r="E41" s="9">
        <f t="shared" si="4"/>
        <v>0</v>
      </c>
      <c r="F41" s="9">
        <f t="shared" si="5"/>
        <v>0</v>
      </c>
      <c r="G41" s="9">
        <f t="shared" si="6"/>
        <v>0</v>
      </c>
    </row>
    <row r="42" spans="1:7" x14ac:dyDescent="0.4">
      <c r="A42" s="9" t="s">
        <v>90</v>
      </c>
      <c r="B42" s="9">
        <v>38</v>
      </c>
      <c r="C42" s="10">
        <v>11227569</v>
      </c>
      <c r="D42" s="35">
        <f t="shared" si="7"/>
        <v>-0.25354234341035109</v>
      </c>
      <c r="E42" s="9">
        <f t="shared" si="4"/>
        <v>1</v>
      </c>
      <c r="F42" s="9">
        <f t="shared" si="5"/>
        <v>0</v>
      </c>
      <c r="G42" s="9">
        <f t="shared" si="6"/>
        <v>0</v>
      </c>
    </row>
    <row r="43" spans="1:7" x14ac:dyDescent="0.4">
      <c r="A43" s="9" t="s">
        <v>91</v>
      </c>
      <c r="B43" s="9">
        <v>39</v>
      </c>
      <c r="C43" s="10">
        <v>11242726</v>
      </c>
      <c r="D43" s="35">
        <f t="shared" si="7"/>
        <v>0.13499805701483553</v>
      </c>
      <c r="E43" s="9">
        <f t="shared" si="4"/>
        <v>0</v>
      </c>
      <c r="F43" s="9">
        <f t="shared" si="5"/>
        <v>1</v>
      </c>
      <c r="G43" s="9">
        <f t="shared" si="6"/>
        <v>0</v>
      </c>
    </row>
    <row r="44" spans="1:7" x14ac:dyDescent="0.4">
      <c r="A44" s="9" t="s">
        <v>92</v>
      </c>
      <c r="B44" s="9">
        <v>40</v>
      </c>
      <c r="C44" s="10">
        <v>11233123</v>
      </c>
      <c r="D44" s="35">
        <f t="shared" si="7"/>
        <v>-8.5415227588042264E-2</v>
      </c>
      <c r="E44" s="9">
        <f t="shared" si="4"/>
        <v>0</v>
      </c>
      <c r="F44" s="9">
        <f t="shared" si="5"/>
        <v>0</v>
      </c>
      <c r="G44" s="9">
        <f t="shared" si="6"/>
        <v>1</v>
      </c>
    </row>
    <row r="45" spans="1:7" x14ac:dyDescent="0.4">
      <c r="A45" s="9" t="s">
        <v>93</v>
      </c>
      <c r="B45" s="9">
        <v>41</v>
      </c>
      <c r="C45" s="10">
        <v>11225962</v>
      </c>
      <c r="D45" s="35">
        <f t="shared" si="7"/>
        <v>-6.3748968118661209E-2</v>
      </c>
      <c r="E45" s="9">
        <f t="shared" si="4"/>
        <v>0</v>
      </c>
      <c r="F45" s="9">
        <f t="shared" si="5"/>
        <v>0</v>
      </c>
      <c r="G45" s="9">
        <f t="shared" si="6"/>
        <v>0</v>
      </c>
    </row>
    <row r="46" spans="1:7" x14ac:dyDescent="0.4">
      <c r="A46" s="9" t="s">
        <v>94</v>
      </c>
      <c r="B46" s="9">
        <v>42</v>
      </c>
      <c r="C46" s="10">
        <v>11197395</v>
      </c>
      <c r="D46" s="35">
        <f t="shared" si="7"/>
        <v>-0.25447262337071869</v>
      </c>
      <c r="E46" s="9">
        <f t="shared" si="4"/>
        <v>1</v>
      </c>
      <c r="F46" s="9">
        <f t="shared" si="5"/>
        <v>0</v>
      </c>
      <c r="G46" s="9">
        <f t="shared" si="6"/>
        <v>0</v>
      </c>
    </row>
    <row r="47" spans="1:7" x14ac:dyDescent="0.4">
      <c r="A47" s="9" t="s">
        <v>95</v>
      </c>
      <c r="B47" s="9">
        <v>43</v>
      </c>
      <c r="C47" s="10">
        <v>11301501</v>
      </c>
      <c r="D47" s="35">
        <f t="shared" si="7"/>
        <v>0.92973410333385587</v>
      </c>
      <c r="E47" s="9">
        <f t="shared" si="4"/>
        <v>0</v>
      </c>
      <c r="F47" s="9">
        <f t="shared" si="5"/>
        <v>1</v>
      </c>
      <c r="G47" s="9">
        <f t="shared" si="6"/>
        <v>0</v>
      </c>
    </row>
    <row r="48" spans="1:7" x14ac:dyDescent="0.4">
      <c r="A48" s="9" t="s">
        <v>96</v>
      </c>
      <c r="B48" s="9">
        <v>44</v>
      </c>
      <c r="C48" s="10">
        <v>11336302</v>
      </c>
      <c r="D48" s="35">
        <f t="shared" si="7"/>
        <v>0.30793254807480885</v>
      </c>
      <c r="E48" s="9">
        <f t="shared" si="4"/>
        <v>0</v>
      </c>
      <c r="F48" s="9">
        <f t="shared" si="5"/>
        <v>0</v>
      </c>
      <c r="G48" s="9">
        <f t="shared" si="6"/>
        <v>1</v>
      </c>
    </row>
    <row r="49" spans="1:7" x14ac:dyDescent="0.4">
      <c r="A49" s="9" t="s">
        <v>97</v>
      </c>
      <c r="B49" s="9">
        <v>45</v>
      </c>
      <c r="C49" s="10">
        <v>11396181</v>
      </c>
      <c r="D49" s="35">
        <f t="shared" si="7"/>
        <v>0.52820575880917786</v>
      </c>
      <c r="E49" s="9">
        <f t="shared" si="4"/>
        <v>0</v>
      </c>
      <c r="F49" s="9">
        <f t="shared" si="5"/>
        <v>0</v>
      </c>
      <c r="G49" s="9">
        <f t="shared" si="6"/>
        <v>0</v>
      </c>
    </row>
    <row r="50" spans="1:7" x14ac:dyDescent="0.4">
      <c r="A50" s="9" t="s">
        <v>98</v>
      </c>
      <c r="B50" s="9">
        <v>46</v>
      </c>
      <c r="C50" s="10">
        <v>11442584</v>
      </c>
      <c r="D50" s="35">
        <f t="shared" si="7"/>
        <v>0.40718026503791049</v>
      </c>
      <c r="E50" s="9">
        <f t="shared" si="4"/>
        <v>1</v>
      </c>
      <c r="F50" s="9">
        <f t="shared" si="5"/>
        <v>0</v>
      </c>
      <c r="G50" s="9">
        <f t="shared" si="6"/>
        <v>0</v>
      </c>
    </row>
    <row r="51" spans="1:7" x14ac:dyDescent="0.4">
      <c r="A51" s="9" t="s">
        <v>99</v>
      </c>
      <c r="B51" s="9">
        <v>47</v>
      </c>
      <c r="C51" s="10">
        <v>11506349</v>
      </c>
      <c r="D51" s="35">
        <f t="shared" si="7"/>
        <v>0.55726049290964341</v>
      </c>
      <c r="E51" s="9">
        <f t="shared" si="4"/>
        <v>0</v>
      </c>
      <c r="F51" s="9">
        <f t="shared" si="5"/>
        <v>1</v>
      </c>
      <c r="G51" s="9">
        <f t="shared" si="6"/>
        <v>0</v>
      </c>
    </row>
    <row r="52" spans="1:7" x14ac:dyDescent="0.4">
      <c r="A52" s="9" t="s">
        <v>100</v>
      </c>
      <c r="B52" s="9">
        <v>48</v>
      </c>
      <c r="C52" s="10">
        <v>11564806</v>
      </c>
      <c r="D52" s="35">
        <f t="shared" si="7"/>
        <v>0.50804125617952312</v>
      </c>
      <c r="E52" s="9">
        <f t="shared" si="4"/>
        <v>0</v>
      </c>
      <c r="F52" s="9">
        <f t="shared" si="5"/>
        <v>0</v>
      </c>
      <c r="G52" s="9">
        <f t="shared" si="6"/>
        <v>1</v>
      </c>
    </row>
    <row r="53" spans="1:7" x14ac:dyDescent="0.4">
      <c r="A53" s="9" t="s">
        <v>101</v>
      </c>
      <c r="B53" s="9">
        <v>49</v>
      </c>
      <c r="C53" s="10">
        <v>11621039</v>
      </c>
      <c r="D53" s="35">
        <f t="shared" si="7"/>
        <v>0.48624248430972383</v>
      </c>
      <c r="E53" s="9">
        <f t="shared" si="4"/>
        <v>0</v>
      </c>
      <c r="F53" s="9">
        <f t="shared" si="5"/>
        <v>0</v>
      </c>
      <c r="G53" s="9">
        <f t="shared" si="6"/>
        <v>0</v>
      </c>
    </row>
    <row r="54" spans="1:7" x14ac:dyDescent="0.4">
      <c r="A54" s="9" t="s">
        <v>102</v>
      </c>
      <c r="B54" s="9">
        <v>50</v>
      </c>
      <c r="C54" s="10">
        <v>11678283</v>
      </c>
      <c r="D54" s="35">
        <f t="shared" si="7"/>
        <v>0.4925893459268143</v>
      </c>
      <c r="E54" s="9">
        <f t="shared" si="4"/>
        <v>1</v>
      </c>
      <c r="F54" s="9">
        <f t="shared" si="5"/>
        <v>0</v>
      </c>
      <c r="G54" s="9">
        <f t="shared" si="6"/>
        <v>0</v>
      </c>
    </row>
    <row r="55" spans="1:7" x14ac:dyDescent="0.4">
      <c r="A55" s="9" t="s">
        <v>103</v>
      </c>
      <c r="B55" s="9">
        <v>51</v>
      </c>
      <c r="C55" s="10">
        <v>11763117</v>
      </c>
      <c r="D55" s="35">
        <f t="shared" si="7"/>
        <v>0.72642528015462549</v>
      </c>
      <c r="E55" s="9">
        <f t="shared" si="4"/>
        <v>0</v>
      </c>
      <c r="F55" s="9">
        <f t="shared" si="5"/>
        <v>1</v>
      </c>
      <c r="G55" s="9">
        <f t="shared" si="6"/>
        <v>0</v>
      </c>
    </row>
    <row r="56" spans="1:7" x14ac:dyDescent="0.4">
      <c r="A56" s="9" t="s">
        <v>104</v>
      </c>
      <c r="B56" s="9">
        <v>52</v>
      </c>
      <c r="C56" s="10">
        <v>11815482</v>
      </c>
      <c r="D56" s="35">
        <f t="shared" si="7"/>
        <v>0.44516262143783836</v>
      </c>
      <c r="E56" s="9">
        <f t="shared" si="4"/>
        <v>0</v>
      </c>
      <c r="F56" s="9">
        <f t="shared" si="5"/>
        <v>0</v>
      </c>
      <c r="G56" s="9">
        <f t="shared" si="6"/>
        <v>1</v>
      </c>
    </row>
    <row r="57" spans="1:7" x14ac:dyDescent="0.4">
      <c r="A57" s="9" t="s">
        <v>105</v>
      </c>
      <c r="B57" s="9">
        <v>53</v>
      </c>
      <c r="C57" s="10">
        <v>11878836</v>
      </c>
      <c r="D57" s="35">
        <f t="shared" si="7"/>
        <v>0.53619479933192737</v>
      </c>
      <c r="E57" s="9">
        <f t="shared" si="4"/>
        <v>0</v>
      </c>
      <c r="F57" s="9">
        <f t="shared" si="5"/>
        <v>0</v>
      </c>
      <c r="G57" s="9">
        <f t="shared" si="6"/>
        <v>0</v>
      </c>
    </row>
    <row r="58" spans="1:7" x14ac:dyDescent="0.4">
      <c r="A58" s="9" t="s">
        <v>106</v>
      </c>
      <c r="B58" s="9">
        <v>54</v>
      </c>
      <c r="C58" s="10">
        <v>11948443</v>
      </c>
      <c r="D58" s="35">
        <f t="shared" si="7"/>
        <v>0.5859749221219992</v>
      </c>
      <c r="E58" s="9">
        <f t="shared" si="4"/>
        <v>1</v>
      </c>
      <c r="F58" s="9">
        <f t="shared" si="5"/>
        <v>0</v>
      </c>
      <c r="G58" s="9">
        <f t="shared" si="6"/>
        <v>0</v>
      </c>
    </row>
    <row r="59" spans="1:7" x14ac:dyDescent="0.4">
      <c r="A59" s="9" t="s">
        <v>107</v>
      </c>
      <c r="B59" s="9">
        <v>55</v>
      </c>
      <c r="C59" s="10">
        <v>12038013</v>
      </c>
      <c r="D59" s="35">
        <f t="shared" si="7"/>
        <v>0.7496374213778314</v>
      </c>
      <c r="E59" s="9">
        <f t="shared" si="4"/>
        <v>0</v>
      </c>
      <c r="F59" s="9">
        <f t="shared" si="5"/>
        <v>1</v>
      </c>
      <c r="G59" s="9">
        <f t="shared" si="6"/>
        <v>0</v>
      </c>
    </row>
    <row r="60" spans="1:7" x14ac:dyDescent="0.4">
      <c r="A60" s="9" t="s">
        <v>108</v>
      </c>
      <c r="B60" s="9">
        <v>56</v>
      </c>
      <c r="C60" s="10">
        <v>12092921</v>
      </c>
      <c r="D60" s="35">
        <f t="shared" si="7"/>
        <v>0.45612178687628935</v>
      </c>
      <c r="E60" s="9">
        <f t="shared" si="4"/>
        <v>0</v>
      </c>
      <c r="F60" s="9">
        <f t="shared" si="5"/>
        <v>0</v>
      </c>
      <c r="G60" s="9">
        <f t="shared" si="6"/>
        <v>1</v>
      </c>
    </row>
    <row r="61" spans="1:7" x14ac:dyDescent="0.4">
      <c r="A61" s="9" t="s">
        <v>109</v>
      </c>
      <c r="B61" s="9">
        <v>57</v>
      </c>
      <c r="C61" s="10">
        <v>12171944</v>
      </c>
      <c r="D61" s="35">
        <f t="shared" si="7"/>
        <v>0.65346494862572901</v>
      </c>
      <c r="E61" s="9">
        <f t="shared" si="4"/>
        <v>0</v>
      </c>
      <c r="F61" s="9">
        <f t="shared" si="5"/>
        <v>0</v>
      </c>
      <c r="G61" s="9">
        <f t="shared" si="6"/>
        <v>0</v>
      </c>
    </row>
    <row r="62" spans="1:7" x14ac:dyDescent="0.4">
      <c r="A62" s="9" t="s">
        <v>110</v>
      </c>
      <c r="B62" s="9">
        <v>58</v>
      </c>
      <c r="C62" s="10">
        <v>12235920</v>
      </c>
      <c r="D62" s="35">
        <f t="shared" si="7"/>
        <v>0.5256021552514536</v>
      </c>
      <c r="E62" s="9">
        <f t="shared" si="4"/>
        <v>1</v>
      </c>
      <c r="F62" s="9">
        <f t="shared" si="5"/>
        <v>0</v>
      </c>
      <c r="G62" s="9">
        <f t="shared" si="6"/>
        <v>0</v>
      </c>
    </row>
    <row r="63" spans="1:7" x14ac:dyDescent="0.4">
      <c r="A63" s="9" t="s">
        <v>111</v>
      </c>
      <c r="B63" s="9">
        <v>59</v>
      </c>
      <c r="C63" s="10">
        <v>12341521</v>
      </c>
      <c r="D63" s="35">
        <f t="shared" si="7"/>
        <v>0.86304094828995281</v>
      </c>
      <c r="E63" s="9">
        <f t="shared" si="4"/>
        <v>0</v>
      </c>
      <c r="F63" s="9">
        <f t="shared" si="5"/>
        <v>1</v>
      </c>
      <c r="G63" s="9">
        <f t="shared" si="6"/>
        <v>0</v>
      </c>
    </row>
    <row r="64" spans="1:7" x14ac:dyDescent="0.4">
      <c r="A64" s="9" t="s">
        <v>112</v>
      </c>
      <c r="B64" s="9">
        <v>60</v>
      </c>
      <c r="C64" s="10">
        <v>12400800</v>
      </c>
      <c r="D64" s="35">
        <f t="shared" si="7"/>
        <v>0.48032167185876035</v>
      </c>
      <c r="E64" s="9">
        <f t="shared" si="4"/>
        <v>0</v>
      </c>
      <c r="F64" s="9">
        <f t="shared" si="5"/>
        <v>0</v>
      </c>
      <c r="G64" s="9">
        <f t="shared" si="6"/>
        <v>1</v>
      </c>
    </row>
    <row r="65" spans="1:7" x14ac:dyDescent="0.4">
      <c r="A65" s="9" t="s">
        <v>113</v>
      </c>
      <c r="B65" s="9">
        <v>61</v>
      </c>
      <c r="C65" s="10">
        <v>12482109</v>
      </c>
      <c r="D65" s="35">
        <f t="shared" si="7"/>
        <v>0.65567544029417457</v>
      </c>
      <c r="E65" s="9">
        <f t="shared" si="4"/>
        <v>0</v>
      </c>
      <c r="F65" s="9">
        <f t="shared" si="5"/>
        <v>0</v>
      </c>
      <c r="G65" s="9">
        <f t="shared" si="6"/>
        <v>0</v>
      </c>
    </row>
    <row r="66" spans="1:7" x14ac:dyDescent="0.4">
      <c r="A66" s="9" t="s">
        <v>114</v>
      </c>
      <c r="B66" s="9">
        <v>62</v>
      </c>
      <c r="C66" s="10">
        <v>12531009</v>
      </c>
      <c r="D66" s="35">
        <f t="shared" si="7"/>
        <v>0.39176071928229433</v>
      </c>
      <c r="E66" s="9">
        <f t="shared" si="4"/>
        <v>1</v>
      </c>
      <c r="F66" s="9">
        <f t="shared" si="5"/>
        <v>0</v>
      </c>
      <c r="G66" s="9">
        <f t="shared" si="6"/>
        <v>0</v>
      </c>
    </row>
    <row r="67" spans="1:7" x14ac:dyDescent="0.4">
      <c r="A67" s="9" t="s">
        <v>115</v>
      </c>
      <c r="B67" s="9">
        <v>63</v>
      </c>
      <c r="C67" s="10">
        <v>12633931</v>
      </c>
      <c r="D67" s="35">
        <f t="shared" si="7"/>
        <v>0.8213384891831137</v>
      </c>
      <c r="E67" s="9">
        <f t="shared" si="4"/>
        <v>0</v>
      </c>
      <c r="F67" s="9">
        <f t="shared" si="5"/>
        <v>1</v>
      </c>
      <c r="G67" s="9">
        <f t="shared" si="6"/>
        <v>0</v>
      </c>
    </row>
    <row r="68" spans="1:7" x14ac:dyDescent="0.4">
      <c r="A68" s="9" t="s">
        <v>116</v>
      </c>
      <c r="B68" s="9">
        <v>64</v>
      </c>
      <c r="C68" s="10">
        <v>12688193</v>
      </c>
      <c r="D68" s="35">
        <f t="shared" si="7"/>
        <v>0.42949419305836006</v>
      </c>
      <c r="E68" s="9">
        <f t="shared" si="4"/>
        <v>0</v>
      </c>
      <c r="F68" s="9">
        <f t="shared" si="5"/>
        <v>0</v>
      </c>
      <c r="G68" s="9">
        <f t="shared" si="6"/>
        <v>1</v>
      </c>
    </row>
    <row r="69" spans="1:7" x14ac:dyDescent="0.4">
      <c r="A69" s="9" t="s">
        <v>117</v>
      </c>
      <c r="B69" s="9">
        <v>65</v>
      </c>
      <c r="C69" s="10">
        <v>12790111</v>
      </c>
      <c r="D69" s="35">
        <f t="shared" si="7"/>
        <v>0.80325070717319635</v>
      </c>
      <c r="E69" s="9">
        <f t="shared" si="4"/>
        <v>0</v>
      </c>
      <c r="F69" s="9">
        <f t="shared" si="5"/>
        <v>0</v>
      </c>
      <c r="G69" s="9">
        <f t="shared" si="6"/>
        <v>0</v>
      </c>
    </row>
  </sheetData>
  <mergeCells count="1">
    <mergeCell ref="I26:N30"/>
  </mergeCells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說明</vt:lpstr>
      <vt:lpstr>1_覆蓋率</vt:lpstr>
      <vt:lpstr>2_年齡結構</vt:lpstr>
      <vt:lpstr>3_市佔與利潤率</vt:lpstr>
      <vt:lpstr>4_股價</vt:lpstr>
      <vt:lpstr>5_獲利UOP</vt:lpstr>
      <vt:lpstr>6_DiD</vt:lpstr>
      <vt:lpstr>7_季節性回歸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PoKai Huang</cp:lastModifiedBy>
  <dcterms:created xsi:type="dcterms:W3CDTF">2026-06-21T00:07:13Z</dcterms:created>
  <dcterms:modified xsi:type="dcterms:W3CDTF">2026-06-23T12:57:34Z</dcterms:modified>
</cp:coreProperties>
</file>