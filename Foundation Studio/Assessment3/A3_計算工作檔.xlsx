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1_覆蓋率" sheetId="2" state="visible" r:id="rId2"/>
    <sheet name="2_年齡結構" sheetId="3" state="visible" r:id="rId3"/>
    <sheet name="3_市佔與利潤率" sheetId="4" state="visible" r:id="rId4"/>
    <sheet name="4_股價" sheetId="5" state="visible" r:id="rId5"/>
    <sheet name="5_獲利UOP" sheetId="6" state="visible" r:id="rId6"/>
    <sheet name="6_DiD" sheetId="7" state="visible" r:id="rId7"/>
    <sheet name="7_季節性回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0.0&quot;x&quot;"/>
    <numFmt numFmtId="166" formatCode="+0.0;-0.0"/>
    <numFmt numFmtId="167" formatCode="0.0000"/>
    <numFmt numFmtId="168" formatCode="+0.0000;-0.0000"/>
    <numFmt numFmtId="169" formatCode="+0.0&quot;%&quot;;-0.0&quot;%&quot;"/>
    <numFmt numFmtId="170" formatCode="+0.00;-0.00"/>
    <numFmt numFmtId="171" formatCode="+0.000;-0.000"/>
    <numFmt numFmtId="172" formatCode="0.000"/>
  </numFmts>
  <fonts count="10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9"/>
    </font>
    <font>
      <b val="1"/>
      <color rgb="001F3A5F"/>
      <sz val="11"/>
    </font>
    <font>
      <sz val="11"/>
    </font>
    <font>
      <b val="1"/>
      <color rgb="00C0392B"/>
      <sz val="11"/>
    </font>
    <font>
      <b val="1"/>
      <color rgb="001F3A5F"/>
      <sz val="14"/>
    </font>
    <font>
      <b val="1"/>
      <color rgb="00FFFFFF"/>
      <sz val="11"/>
    </font>
    <font>
      <b val="1"/>
      <color rgb="001F3A5F"/>
    </font>
    <font>
      <b val="1"/>
      <color rgb="00C0392B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4F7"/>
      </patternFill>
    </fill>
    <fill>
      <patternFill patternType="solid">
        <fgColor rgb="00FBE4E0"/>
      </patternFill>
    </fill>
    <fill>
      <patternFill patternType="solid">
        <fgColor rgb="00E8EEF6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0" pivotButton="0" quotePrefix="0" xfId="0"/>
    <xf numFmtId="164" fontId="8" fillId="0" borderId="0" pivotButton="0" quotePrefix="0" xfId="0"/>
    <xf numFmtId="164" fontId="9" fillId="0" borderId="0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3" fontId="8" fillId="0" borderId="0" pivotButton="0" quotePrefix="0" xfId="0"/>
    <xf numFmtId="0" fontId="8" fillId="0" borderId="0" pivotButton="0" quotePrefix="0" xfId="0"/>
    <xf numFmtId="2" fontId="0" fillId="0" borderId="1" pivotButton="0" quotePrefix="0" xfId="0"/>
    <xf numFmtId="1" fontId="0" fillId="0" borderId="1" pivotButton="0" quotePrefix="0" xfId="0"/>
    <xf numFmtId="165" fontId="9" fillId="0" borderId="0" pivotButton="0" quotePrefix="0" xfId="0"/>
    <xf numFmtId="165" fontId="8" fillId="0" borderId="0" pivotButton="0" quotePrefix="0" xfId="0"/>
    <xf numFmtId="166" fontId="0" fillId="0" borderId="1" pivotButton="0" quotePrefix="0" xfId="0"/>
    <xf numFmtId="167" fontId="0" fillId="0" borderId="1" pivotButton="0" quotePrefix="0" xfId="0"/>
    <xf numFmtId="0" fontId="0" fillId="5" borderId="1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6" borderId="0" pivotButton="0" quotePrefix="0" xfId="0"/>
    <xf numFmtId="168" fontId="9" fillId="0" borderId="0" pivotButton="0" quotePrefix="0" xfId="0"/>
    <xf numFmtId="169" fontId="9" fillId="0" borderId="0" pivotButton="0" quotePrefix="0" xfId="0"/>
    <xf numFmtId="170" fontId="9" fillId="0" borderId="0" pivotButton="0" quotePrefix="0" xfId="0"/>
    <xf numFmtId="170" fontId="8" fillId="0" borderId="0" pivotButton="0" quotePrefix="0" xfId="0"/>
    <xf numFmtId="1" fontId="8" fillId="0" borderId="0" pivotButton="0" quotePrefix="0" xfId="0"/>
    <xf numFmtId="170" fontId="0" fillId="0" borderId="1" pivotButton="0" quotePrefix="0" xfId="0"/>
    <xf numFmtId="171" fontId="8" fillId="0" borderId="0" pivotButton="0" quotePrefix="0" xfId="0"/>
    <xf numFmtId="172" fontId="8" fillId="0" borderId="0" pivotButton="0" quotePrefix="0" xfId="0"/>
    <xf numFmtId="172" fontId="9" fillId="0" borderId="0" pivotButton="0" quotePrefix="0" xfId="0"/>
    <xf numFmtId="167" fontId="8" fillId="0" borderId="0" pivotButton="0" quotePrefix="0" xfId="0"/>
    <xf numFmtId="2" fontId="8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評估三 計算工作檔 — NIB 案例</t>
        </is>
      </c>
    </row>
    <row r="2">
      <c r="A2" s="2" t="inlineStr">
        <is>
          <t>口試後備檔:所有衍生數字都用 Excel 公式即時算,點任一格可看公式。圖在報告裡,計算過程在這裡。</t>
        </is>
      </c>
    </row>
    <row r="4">
      <c r="A4" s="3" t="inlineStr">
        <is>
          <t>資料來源</t>
        </is>
      </c>
      <c r="B4" s="4" t="inlineStr"/>
    </row>
    <row r="5">
      <c r="A5" s="2" t="inlineStr">
        <is>
          <t xml:space="preserve">　會員/年齡/人口</t>
        </is>
      </c>
      <c r="B5" s="4" t="inlineStr">
        <is>
          <t>APRA《Quarterly Private Health Insurance Statistics — Membership Trends》, Mar 2026</t>
        </is>
      </c>
    </row>
    <row r="6">
      <c r="A6" s="2" t="inlineStr">
        <is>
          <t xml:space="preserve">　市佔/利潤率</t>
        </is>
      </c>
      <c r="B6" s="4" t="inlineStr">
        <is>
          <t>APRA《Annual Private Health Insurance Performance Statistics》, FY2024-25(Health insurance business)</t>
        </is>
      </c>
    </row>
    <row r="7">
      <c r="A7" s="2" t="inlineStr">
        <is>
          <t xml:space="preserve">　股價</t>
        </is>
      </c>
      <c r="B7" s="4" t="inlineStr">
        <is>
          <t>Yahoo Finance(NHF 與 ^AXJO 月收盤價)</t>
        </is>
      </c>
    </row>
    <row r="8">
      <c r="A8" s="2" t="inlineStr">
        <is>
          <t xml:space="preserve">　UOP/NPAT</t>
        </is>
      </c>
      <c r="B8" s="4" t="inlineStr">
        <is>
          <t>nib Holdings 年報(FY21 五年摘要、FY23/FY25 業績公告)</t>
        </is>
      </c>
    </row>
    <row r="10">
      <c r="A10" s="3" t="inlineStr">
        <is>
          <t>分頁導覽</t>
        </is>
      </c>
      <c r="B10" s="4" t="inlineStr"/>
    </row>
    <row r="11">
      <c r="A11" s="5" t="inlineStr">
        <is>
          <t>1_覆蓋率</t>
        </is>
      </c>
      <c r="B11" s="6" t="inlineStr">
        <is>
          <t>住院險覆蓋率 = 投保總人數 ÷ 全國人口(對應報告圖一)</t>
        </is>
      </c>
    </row>
    <row r="12">
      <c r="A12" s="5" t="inlineStr">
        <is>
          <t>2_年齡結構</t>
        </is>
      </c>
      <c r="B12" s="6" t="inlineStr">
        <is>
          <t>40 歲以下投保人占比(對應報告圖二:48.2% → 45.1%)</t>
        </is>
      </c>
    </row>
    <row r="13">
      <c r="A13" s="5" t="inlineStr">
        <is>
          <t>3_市佔與利潤率</t>
        </is>
      </c>
      <c r="B13" s="6" t="inlineStr">
        <is>
          <t>各保險商保費市佔、淨利率、管理費用率(報告圖四、圖五)</t>
        </is>
      </c>
    </row>
    <row r="14">
      <c r="A14" s="5" t="inlineStr">
        <is>
          <t>4_股價</t>
        </is>
      </c>
      <c r="B14" s="6" t="inlineStr">
        <is>
          <t>NHF vs ASX200 指數化(2011=100;報告圖三)</t>
        </is>
      </c>
    </row>
    <row r="15">
      <c r="A15" s="5" t="inlineStr">
        <is>
          <t>5_獲利UOP</t>
        </is>
      </c>
      <c r="B15" s="6" t="inlineStr">
        <is>
          <t>nib 承保營運利潤 FY21-25(報告圖五)</t>
        </is>
      </c>
    </row>
    <row r="16">
      <c r="A16" s="5" t="inlineStr">
        <is>
          <t>6_DiD</t>
        </is>
      </c>
      <c r="B16" s="6" t="inlineStr">
        <is>
          <t>差異中之差異 + 平行趨勢檢定(報告圖七、Part 3 核心)</t>
        </is>
      </c>
    </row>
    <row r="17">
      <c r="A17" s="5" t="inlineStr">
        <is>
          <t>7_季節性回歸</t>
        </is>
      </c>
      <c r="B17" s="6" t="inlineStr">
        <is>
          <t>會員成長率對季別的多元回歸(R²、p 值;Part 3 鋪陳)</t>
        </is>
      </c>
    </row>
    <row r="19">
      <c r="A19" s="3" t="inlineStr">
        <is>
          <t>口試對應(老師會問)</t>
        </is>
      </c>
      <c r="B19" s="4" t="inlineStr"/>
    </row>
    <row r="20">
      <c r="A20" s="3" t="inlineStr">
        <is>
          <t>資料怎麼找</t>
        </is>
      </c>
      <c r="B20" s="6" t="inlineStr">
        <is>
          <t>→ 看「1_覆蓋率」「2_年齡結構」:從 APRA 季度表 MembershipByAgeData / MembershipData 擷取,自己彙總。</t>
        </is>
      </c>
    </row>
    <row r="21">
      <c r="A21" s="3" t="inlineStr">
        <is>
          <t>用 Excel 還是別的</t>
        </is>
      </c>
      <c r="B21" s="6" t="inlineStr">
        <is>
          <t>→ 就是這個檔。每格都是 Excel 公式(SUM、除法、SLOPE、LINEST),非貼上的死值。</t>
        </is>
      </c>
    </row>
    <row r="22">
      <c r="A22" s="3" t="inlineStr">
        <is>
          <t>單回歸 vs 多元回歸</t>
        </is>
      </c>
      <c r="B22" s="6" t="inlineStr">
        <is>
          <t>→「7_季節性回歸」是多元回歸(成長率 ~ Q2+Q3+Q4 三個虛擬變數);「6_DiD」是含交互項的回歸。</t>
        </is>
      </c>
    </row>
    <row r="23">
      <c r="A23" s="3" t="inlineStr">
        <is>
          <t>R² 和 p 值怎麼解讀</t>
        </is>
      </c>
      <c r="B23" s="6" t="inlineStr">
        <is>
          <t>→「7_季節性回歸」:R²≈0.09(幾乎不解釋)、各季 p&gt;0.05(不顯著)→ 沒有季節性,變動由政策/COVID 驅動。</t>
        </is>
      </c>
    </row>
    <row r="24">
      <c r="A24" s="3" t="inlineStr">
        <is>
          <t>漲價對需求的因果</t>
        </is>
      </c>
      <c r="B24" s="6" t="inlineStr">
        <is>
          <t>→「6_DiD」:樸素 DiD −4.1%,但平行趨勢不成立(政策前 25-29 每季 −1.51% vs 30-34 −0.71%)→ 不可當因果。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0" customWidth="1" min="4" max="4"/>
  </cols>
  <sheetData>
    <row r="1">
      <c r="A1" s="7" t="inlineStr">
        <is>
          <t>住院險覆蓋率(投保人數 ÷ 全國人口)</t>
        </is>
      </c>
    </row>
    <row r="2">
      <c r="A2" s="2" t="inlineStr">
        <is>
          <t>來源:APRA Quarterly Membership Trends, Mar 2026。覆蓋率欄為公式。</t>
        </is>
      </c>
    </row>
    <row r="4">
      <c r="A4" s="8" t="inlineStr">
        <is>
          <t>季別</t>
        </is>
      </c>
      <c r="B4" s="8" t="inlineStr">
        <is>
          <t>投保總人數(人)</t>
        </is>
      </c>
      <c r="C4" s="8" t="inlineStr">
        <is>
          <t>全國人口(人)</t>
        </is>
      </c>
      <c r="D4" s="8" t="inlineStr">
        <is>
          <t>覆蓋率 %</t>
        </is>
      </c>
    </row>
    <row r="5">
      <c r="A5" s="9" t="inlineStr">
        <is>
          <t>2007 Q2</t>
        </is>
      </c>
      <c r="B5" s="10" t="n">
        <v>9144641</v>
      </c>
      <c r="C5" s="10" t="n">
        <v>20825108</v>
      </c>
      <c r="D5" s="11">
        <f>B5/C5*100</f>
        <v/>
      </c>
    </row>
    <row r="6">
      <c r="A6" s="9" t="inlineStr">
        <is>
          <t>2007 Q3</t>
        </is>
      </c>
      <c r="B6" s="10" t="n">
        <v>9292209</v>
      </c>
      <c r="C6" s="10" t="n">
        <v>20921590</v>
      </c>
      <c r="D6" s="11">
        <f>B6/C6*100</f>
        <v/>
      </c>
    </row>
    <row r="7">
      <c r="A7" s="9" t="inlineStr">
        <is>
          <t>2007 Q4</t>
        </is>
      </c>
      <c r="B7" s="10" t="n">
        <v>9391489</v>
      </c>
      <c r="C7" s="10" t="n">
        <v>21013492</v>
      </c>
      <c r="D7" s="11">
        <f>B7/C7*100</f>
        <v/>
      </c>
    </row>
    <row r="8">
      <c r="A8" s="9" t="inlineStr">
        <is>
          <t>2008 Q1</t>
        </is>
      </c>
      <c r="B8" s="10" t="n">
        <v>9476921</v>
      </c>
      <c r="C8" s="10" t="n">
        <v>21146287</v>
      </c>
      <c r="D8" s="11">
        <f>B8/C8*100</f>
        <v/>
      </c>
    </row>
    <row r="9">
      <c r="A9" s="9" t="inlineStr">
        <is>
          <t>2008 Q2</t>
        </is>
      </c>
      <c r="B9" s="10" t="n">
        <v>9533979</v>
      </c>
      <c r="C9" s="10" t="n">
        <v>21246516</v>
      </c>
      <c r="D9" s="11">
        <f>B9/C9*100</f>
        <v/>
      </c>
    </row>
    <row r="10">
      <c r="A10" s="9" t="inlineStr">
        <is>
          <t>2008 Q3</t>
        </is>
      </c>
      <c r="B10" s="10" t="n">
        <v>9602372</v>
      </c>
      <c r="C10" s="10" t="n">
        <v>21363311</v>
      </c>
      <c r="D10" s="11">
        <f>B10/C10*100</f>
        <v/>
      </c>
    </row>
    <row r="11">
      <c r="A11" s="9" t="inlineStr">
        <is>
          <t>2008 Q4</t>
        </is>
      </c>
      <c r="B11" s="10" t="n">
        <v>9656848</v>
      </c>
      <c r="C11" s="10" t="n">
        <v>21472827</v>
      </c>
      <c r="D11" s="11">
        <f>B11/C11*100</f>
        <v/>
      </c>
    </row>
    <row r="12">
      <c r="A12" s="9" t="inlineStr">
        <is>
          <t>2009 Q1</t>
        </is>
      </c>
      <c r="B12" s="10" t="n">
        <v>9702117</v>
      </c>
      <c r="C12" s="10" t="n">
        <v>21598863</v>
      </c>
      <c r="D12" s="11">
        <f>B12/C12*100</f>
        <v/>
      </c>
    </row>
    <row r="13">
      <c r="A13" s="9" t="inlineStr">
        <is>
          <t>2009 Q2</t>
        </is>
      </c>
      <c r="B13" s="10" t="n">
        <v>9745242</v>
      </c>
      <c r="C13" s="10" t="n">
        <v>21688777</v>
      </c>
      <c r="D13" s="11">
        <f>B13/C13*100</f>
        <v/>
      </c>
    </row>
    <row r="14">
      <c r="A14" s="9" t="inlineStr">
        <is>
          <t>2009 Q3</t>
        </is>
      </c>
      <c r="B14" s="10" t="n">
        <v>9820963</v>
      </c>
      <c r="C14" s="10" t="n">
        <v>21785165</v>
      </c>
      <c r="D14" s="11">
        <f>B14/C14*100</f>
        <v/>
      </c>
    </row>
    <row r="15">
      <c r="A15" s="9" t="inlineStr">
        <is>
          <t>2009 Q4</t>
        </is>
      </c>
      <c r="B15" s="10" t="n">
        <v>9866201</v>
      </c>
      <c r="C15" s="10" t="n">
        <v>21862635</v>
      </c>
      <c r="D15" s="11">
        <f>B15/C15*100</f>
        <v/>
      </c>
    </row>
    <row r="16">
      <c r="A16" s="9" t="inlineStr">
        <is>
          <t>2010 Q1</t>
        </is>
      </c>
      <c r="B16" s="10" t="n">
        <v>9912887</v>
      </c>
      <c r="C16" s="10" t="n">
        <v>21961094</v>
      </c>
      <c r="D16" s="11">
        <f>B16/C16*100</f>
        <v/>
      </c>
    </row>
    <row r="17">
      <c r="A17" s="9" t="inlineStr">
        <is>
          <t>2010 Q2</t>
        </is>
      </c>
      <c r="B17" s="10" t="n">
        <v>9973864</v>
      </c>
      <c r="C17" s="10" t="n">
        <v>22028695</v>
      </c>
      <c r="D17" s="11">
        <f>B17/C17*100</f>
        <v/>
      </c>
    </row>
    <row r="18">
      <c r="A18" s="9" t="inlineStr">
        <is>
          <t>2010 Q3</t>
        </is>
      </c>
      <c r="B18" s="10" t="n">
        <v>10064043</v>
      </c>
      <c r="C18" s="10" t="n">
        <v>22101330</v>
      </c>
      <c r="D18" s="11">
        <f>B18/C18*100</f>
        <v/>
      </c>
    </row>
    <row r="19">
      <c r="A19" s="9" t="inlineStr">
        <is>
          <t>2010 Q4</t>
        </is>
      </c>
      <c r="B19" s="10" t="n">
        <v>10117522</v>
      </c>
      <c r="C19" s="10" t="n">
        <v>22169380</v>
      </c>
      <c r="D19" s="11">
        <f>B19/C19*100</f>
        <v/>
      </c>
    </row>
    <row r="20">
      <c r="A20" s="9" t="inlineStr">
        <is>
          <t>2011 Q1</t>
        </is>
      </c>
      <c r="B20" s="10" t="n">
        <v>10168295</v>
      </c>
      <c r="C20" s="10" t="n">
        <v>22265665</v>
      </c>
      <c r="D20" s="11">
        <f>B20/C20*100</f>
        <v/>
      </c>
    </row>
    <row r="21">
      <c r="A21" s="9" t="inlineStr">
        <is>
          <t>2011 Q2</t>
        </is>
      </c>
      <c r="B21" s="10" t="n">
        <v>10255675</v>
      </c>
      <c r="C21" s="10" t="n">
        <v>22336907</v>
      </c>
      <c r="D21" s="11">
        <f>B21/C21*100</f>
        <v/>
      </c>
    </row>
    <row r="22">
      <c r="A22" s="9" t="inlineStr">
        <is>
          <t>2011 Q3</t>
        </is>
      </c>
      <c r="B22" s="10" t="n">
        <v>10353096</v>
      </c>
      <c r="C22" s="10" t="n">
        <v>22429657</v>
      </c>
      <c r="D22" s="11">
        <f>B22/C22*100</f>
        <v/>
      </c>
    </row>
    <row r="23">
      <c r="A23" s="9" t="inlineStr">
        <is>
          <t>2011 Q4</t>
        </is>
      </c>
      <c r="B23" s="10" t="n">
        <v>10403680</v>
      </c>
      <c r="C23" s="10" t="n">
        <v>22519080</v>
      </c>
      <c r="D23" s="11">
        <f>B23/C23*100</f>
        <v/>
      </c>
    </row>
    <row r="24">
      <c r="A24" s="9" t="inlineStr">
        <is>
          <t>2012 Q1</t>
        </is>
      </c>
      <c r="B24" s="10" t="n">
        <v>10455462</v>
      </c>
      <c r="C24" s="10" t="n">
        <v>22637894</v>
      </c>
      <c r="D24" s="11">
        <f>B24/C24*100</f>
        <v/>
      </c>
    </row>
    <row r="25">
      <c r="A25" s="9" t="inlineStr">
        <is>
          <t>2012 Q2</t>
        </is>
      </c>
      <c r="B25" s="10" t="n">
        <v>10587828</v>
      </c>
      <c r="C25" s="10" t="n">
        <v>22730432</v>
      </c>
      <c r="D25" s="11">
        <f>B25/C25*100</f>
        <v/>
      </c>
    </row>
    <row r="26">
      <c r="A26" s="9" t="inlineStr">
        <is>
          <t>2012 Q3</t>
        </is>
      </c>
      <c r="B26" s="10" t="n">
        <v>10670956</v>
      </c>
      <c r="C26" s="10" t="n">
        <v>22830893</v>
      </c>
      <c r="D26" s="11">
        <f>B26/C26*100</f>
        <v/>
      </c>
    </row>
    <row r="27">
      <c r="A27" s="9" t="inlineStr">
        <is>
          <t>2012 Q4</t>
        </is>
      </c>
      <c r="B27" s="10" t="n">
        <v>10710319</v>
      </c>
      <c r="C27" s="10" t="n">
        <v>22925003</v>
      </c>
      <c r="D27" s="11">
        <f>B27/C27*100</f>
        <v/>
      </c>
    </row>
    <row r="28">
      <c r="A28" s="9" t="inlineStr">
        <is>
          <t>2013 Q1</t>
        </is>
      </c>
      <c r="B28" s="10" t="n">
        <v>10763182</v>
      </c>
      <c r="C28" s="10" t="n">
        <v>23040029</v>
      </c>
      <c r="D28" s="11">
        <f>B28/C28*100</f>
        <v/>
      </c>
    </row>
    <row r="29">
      <c r="A29" s="9" t="inlineStr">
        <is>
          <t>2013 Q2</t>
        </is>
      </c>
      <c r="B29" s="10" t="n">
        <v>10850227</v>
      </c>
      <c r="C29" s="10" t="n">
        <v>23125167</v>
      </c>
      <c r="D29" s="11">
        <f>B29/C29*100</f>
        <v/>
      </c>
    </row>
    <row r="30">
      <c r="A30" s="9" t="inlineStr">
        <is>
          <t>2013 Q3</t>
        </is>
      </c>
      <c r="B30" s="10" t="n">
        <v>10926523</v>
      </c>
      <c r="C30" s="10" t="n">
        <v>23217286</v>
      </c>
      <c r="D30" s="11">
        <f>B30/C30*100</f>
        <v/>
      </c>
    </row>
    <row r="31">
      <c r="A31" s="9" t="inlineStr">
        <is>
          <t>2013 Q4</t>
        </is>
      </c>
      <c r="B31" s="10" t="n">
        <v>10958428</v>
      </c>
      <c r="C31" s="10" t="n">
        <v>23294839</v>
      </c>
      <c r="D31" s="11">
        <f>B31/C31*100</f>
        <v/>
      </c>
    </row>
    <row r="32">
      <c r="A32" s="9" t="inlineStr">
        <is>
          <t>2014 Q1</t>
        </is>
      </c>
      <c r="B32" s="10" t="n">
        <v>11004273</v>
      </c>
      <c r="C32" s="10" t="n">
        <v>23403293</v>
      </c>
      <c r="D32" s="11">
        <f>B32/C32*100</f>
        <v/>
      </c>
    </row>
    <row r="33">
      <c r="A33" s="9" t="inlineStr">
        <is>
          <t>2014 Q2</t>
        </is>
      </c>
      <c r="B33" s="10" t="n">
        <v>11091439</v>
      </c>
      <c r="C33" s="10" t="n">
        <v>23472790</v>
      </c>
      <c r="D33" s="11">
        <f>B33/C33*100</f>
        <v/>
      </c>
    </row>
    <row r="34">
      <c r="A34" s="9" t="inlineStr">
        <is>
          <t>2014 Q3</t>
        </is>
      </c>
      <c r="B34" s="10" t="n">
        <v>11152243</v>
      </c>
      <c r="C34" s="10" t="n">
        <v>23560017</v>
      </c>
      <c r="D34" s="11">
        <f>B34/C34*100</f>
        <v/>
      </c>
    </row>
    <row r="35">
      <c r="A35" s="9" t="inlineStr">
        <is>
          <t>2014 Q4</t>
        </is>
      </c>
      <c r="B35" s="10" t="n">
        <v>11180711</v>
      </c>
      <c r="C35" s="10" t="n">
        <v>23637446</v>
      </c>
      <c r="D35" s="11">
        <f>B35/C35*100</f>
        <v/>
      </c>
    </row>
    <row r="36">
      <c r="A36" s="9" t="inlineStr">
        <is>
          <t>2015 Q1</t>
        </is>
      </c>
      <c r="B36" s="10" t="n">
        <v>11229284</v>
      </c>
      <c r="C36" s="10" t="n">
        <v>23742774</v>
      </c>
      <c r="D36" s="11">
        <f>B36/C36*100</f>
        <v/>
      </c>
    </row>
    <row r="37">
      <c r="A37" s="9" t="inlineStr">
        <is>
          <t>2015 Q2</t>
        </is>
      </c>
      <c r="B37" s="10" t="n">
        <v>11276328</v>
      </c>
      <c r="C37" s="10" t="n">
        <v>23813144</v>
      </c>
      <c r="D37" s="11">
        <f>B37/C37*100</f>
        <v/>
      </c>
    </row>
    <row r="38">
      <c r="A38" s="9" t="inlineStr">
        <is>
          <t>2015 Q3</t>
        </is>
      </c>
      <c r="B38" s="10" t="n">
        <v>11302105</v>
      </c>
      <c r="C38" s="10" t="n">
        <v>23901421</v>
      </c>
      <c r="D38" s="11">
        <f>B38/C38*100</f>
        <v/>
      </c>
    </row>
    <row r="39">
      <c r="A39" s="9" t="inlineStr">
        <is>
          <t>2015 Q4</t>
        </is>
      </c>
      <c r="B39" s="10" t="n">
        <v>11308465</v>
      </c>
      <c r="C39" s="10" t="n">
        <v>23981723</v>
      </c>
      <c r="D39" s="11">
        <f>B39/C39*100</f>
        <v/>
      </c>
    </row>
    <row r="40">
      <c r="A40" s="9" t="inlineStr">
        <is>
          <t>2016 Q1</t>
        </is>
      </c>
      <c r="B40" s="10" t="n">
        <v>11331535</v>
      </c>
      <c r="C40" s="10" t="n">
        <v>24100578</v>
      </c>
      <c r="D40" s="11">
        <f>B40/C40*100</f>
        <v/>
      </c>
    </row>
    <row r="41">
      <c r="A41" s="9" t="inlineStr">
        <is>
          <t>2016 Q2</t>
        </is>
      </c>
      <c r="B41" s="10" t="n">
        <v>11328577</v>
      </c>
      <c r="C41" s="10" t="n">
        <v>24186299</v>
      </c>
      <c r="D41" s="11">
        <f>B41/C41*100</f>
        <v/>
      </c>
    </row>
    <row r="42">
      <c r="A42" s="9" t="inlineStr">
        <is>
          <t>2016 Q3</t>
        </is>
      </c>
      <c r="B42" s="10" t="n">
        <v>11335297</v>
      </c>
      <c r="C42" s="10" t="n">
        <v>24292926</v>
      </c>
      <c r="D42" s="11">
        <f>B42/C42*100</f>
        <v/>
      </c>
    </row>
    <row r="43">
      <c r="A43" s="9" t="inlineStr">
        <is>
          <t>2016 Q4</t>
        </is>
      </c>
      <c r="B43" s="10" t="n">
        <v>11327512</v>
      </c>
      <c r="C43" s="10" t="n">
        <v>24380455</v>
      </c>
      <c r="D43" s="11">
        <f>B43/C43*100</f>
        <v/>
      </c>
    </row>
    <row r="44">
      <c r="A44" s="9" t="inlineStr">
        <is>
          <t>2017 Q1</t>
        </is>
      </c>
      <c r="B44" s="10" t="n">
        <v>11353517</v>
      </c>
      <c r="C44" s="10" t="n">
        <v>24506739</v>
      </c>
      <c r="D44" s="11">
        <f>B44/C44*100</f>
        <v/>
      </c>
    </row>
    <row r="45">
      <c r="A45" s="9" t="inlineStr">
        <is>
          <t>2017 Q2</t>
        </is>
      </c>
      <c r="B45" s="10" t="n">
        <v>11318742</v>
      </c>
      <c r="C45" s="10" t="n">
        <v>24587917</v>
      </c>
      <c r="D45" s="11">
        <f>B45/C45*100</f>
        <v/>
      </c>
    </row>
    <row r="46">
      <c r="A46" s="9" t="inlineStr">
        <is>
          <t>2017 Q3</t>
        </is>
      </c>
      <c r="B46" s="10" t="n">
        <v>11318588</v>
      </c>
      <c r="C46" s="10" t="n">
        <v>24685416</v>
      </c>
      <c r="D46" s="11">
        <f>B46/C46*100</f>
        <v/>
      </c>
    </row>
    <row r="47">
      <c r="A47" s="9" t="inlineStr">
        <is>
          <t>2017 Q4</t>
        </is>
      </c>
      <c r="B47" s="10" t="n">
        <v>11306294</v>
      </c>
      <c r="C47" s="10" t="n">
        <v>24754352</v>
      </c>
      <c r="D47" s="11">
        <f>B47/C47*100</f>
        <v/>
      </c>
    </row>
    <row r="48">
      <c r="A48" s="9" t="inlineStr">
        <is>
          <t>2018 Q1</t>
        </is>
      </c>
      <c r="B48" s="10" t="n">
        <v>11316775</v>
      </c>
      <c r="C48" s="10" t="n">
        <v>24877042</v>
      </c>
      <c r="D48" s="11">
        <f>B48/C48*100</f>
        <v/>
      </c>
    </row>
    <row r="49">
      <c r="A49" s="9" t="inlineStr">
        <is>
          <t>2018 Q2</t>
        </is>
      </c>
      <c r="B49" s="10" t="n">
        <v>11259263</v>
      </c>
      <c r="C49" s="10" t="n">
        <v>24958533</v>
      </c>
      <c r="D49" s="11">
        <f>B49/C49*100</f>
        <v/>
      </c>
    </row>
    <row r="50">
      <c r="A50" s="9" t="inlineStr">
        <is>
          <t>2018 Q3</t>
        </is>
      </c>
      <c r="B50" s="10" t="n">
        <v>11254007</v>
      </c>
      <c r="C50" s="10" t="n">
        <v>25062678</v>
      </c>
      <c r="D50" s="11">
        <f>B50/C50*100</f>
        <v/>
      </c>
    </row>
    <row r="51">
      <c r="A51" s="9" t="inlineStr">
        <is>
          <t>2018 Q4</t>
        </is>
      </c>
      <c r="B51" s="10" t="n">
        <v>11241637</v>
      </c>
      <c r="C51" s="10" t="n">
        <v>25141417</v>
      </c>
      <c r="D51" s="11">
        <f>B51/C51*100</f>
        <v/>
      </c>
    </row>
    <row r="52">
      <c r="A52" s="9" t="inlineStr">
        <is>
          <t>2019 Q1</t>
        </is>
      </c>
      <c r="B52" s="10" t="n">
        <v>11256108</v>
      </c>
      <c r="C52" s="10" t="n">
        <v>25260163</v>
      </c>
      <c r="D52" s="11">
        <f>B52/C52*100</f>
        <v/>
      </c>
    </row>
    <row r="53">
      <c r="A53" s="9" t="inlineStr">
        <is>
          <t>2019 Q2</t>
        </is>
      </c>
      <c r="B53" s="10" t="n">
        <v>11227569</v>
      </c>
      <c r="C53" s="10" t="n">
        <v>25330050</v>
      </c>
      <c r="D53" s="11">
        <f>B53/C53*100</f>
        <v/>
      </c>
    </row>
    <row r="54">
      <c r="A54" s="9" t="inlineStr">
        <is>
          <t>2019 Q3</t>
        </is>
      </c>
      <c r="B54" s="10" t="n">
        <v>11242726</v>
      </c>
      <c r="C54" s="10" t="n">
        <v>25433297</v>
      </c>
      <c r="D54" s="11">
        <f>B54/C54*100</f>
        <v/>
      </c>
    </row>
    <row r="55">
      <c r="A55" s="9" t="inlineStr">
        <is>
          <t>2019 Q4</t>
        </is>
      </c>
      <c r="B55" s="10" t="n">
        <v>11233123</v>
      </c>
      <c r="C55" s="10" t="n">
        <v>25515699</v>
      </c>
      <c r="D55" s="11">
        <f>B55/C55*100</f>
        <v/>
      </c>
    </row>
    <row r="56">
      <c r="A56" s="9" t="inlineStr">
        <is>
          <t>2020 Q1</t>
        </is>
      </c>
      <c r="B56" s="10" t="n">
        <v>11225962</v>
      </c>
      <c r="C56" s="10" t="n">
        <v>25623118</v>
      </c>
      <c r="D56" s="11">
        <f>B56/C56*100</f>
        <v/>
      </c>
    </row>
    <row r="57">
      <c r="A57" s="9" t="inlineStr">
        <is>
          <t>2020 Q2</t>
        </is>
      </c>
      <c r="B57" s="10" t="n">
        <v>11197395</v>
      </c>
      <c r="C57" s="10" t="n">
        <v>25644445</v>
      </c>
      <c r="D57" s="11">
        <f>B57/C57*100</f>
        <v/>
      </c>
    </row>
    <row r="58">
      <c r="A58" s="9" t="inlineStr">
        <is>
          <t>2020 Q3</t>
        </is>
      </c>
      <c r="B58" s="10" t="n">
        <v>11301501</v>
      </c>
      <c r="C58" s="10" t="n">
        <v>25628523</v>
      </c>
      <c r="D58" s="11">
        <f>B58/C58*100</f>
        <v/>
      </c>
    </row>
    <row r="59">
      <c r="A59" s="9" t="inlineStr">
        <is>
          <t>2020 Q4</t>
        </is>
      </c>
      <c r="B59" s="10" t="n">
        <v>11336302</v>
      </c>
      <c r="C59" s="10" t="n">
        <v>25625875</v>
      </c>
      <c r="D59" s="11">
        <f>B59/C59*100</f>
        <v/>
      </c>
    </row>
    <row r="60">
      <c r="A60" s="9" t="inlineStr">
        <is>
          <t>2021 Q1</t>
        </is>
      </c>
      <c r="B60" s="10" t="n">
        <v>11396181</v>
      </c>
      <c r="C60" s="10" t="n">
        <v>25648154</v>
      </c>
      <c r="D60" s="11">
        <f>B60/C60*100</f>
        <v/>
      </c>
    </row>
    <row r="61">
      <c r="A61" s="9" t="inlineStr">
        <is>
          <t>2021 Q2</t>
        </is>
      </c>
      <c r="B61" s="10" t="n">
        <v>11442584</v>
      </c>
      <c r="C61" s="10" t="n">
        <v>25680562</v>
      </c>
      <c r="D61" s="11">
        <f>B61/C61*100</f>
        <v/>
      </c>
    </row>
    <row r="62">
      <c r="A62" s="9" t="inlineStr">
        <is>
          <t>2021 Q3</t>
        </is>
      </c>
      <c r="B62" s="10" t="n">
        <v>11506349</v>
      </c>
      <c r="C62" s="10" t="n">
        <v>25699928</v>
      </c>
      <c r="D62" s="11">
        <f>B62/C62*100</f>
        <v/>
      </c>
    </row>
    <row r="63">
      <c r="A63" s="9" t="inlineStr">
        <is>
          <t>2021 Q4</t>
        </is>
      </c>
      <c r="B63" s="10" t="n">
        <v>11564806</v>
      </c>
      <c r="C63" s="10" t="n">
        <v>25768935</v>
      </c>
      <c r="D63" s="11">
        <f>B63/C63*100</f>
        <v/>
      </c>
    </row>
    <row r="64">
      <c r="A64" s="9" t="inlineStr">
        <is>
          <t>2022 Q1</t>
        </is>
      </c>
      <c r="B64" s="10" t="n">
        <v>11621039</v>
      </c>
      <c r="C64" s="10" t="n">
        <v>25908086</v>
      </c>
      <c r="D64" s="11">
        <f>B64/C64*100</f>
        <v/>
      </c>
    </row>
    <row r="65">
      <c r="A65" s="9" t="inlineStr">
        <is>
          <t>2022 Q2</t>
        </is>
      </c>
      <c r="B65" s="10" t="n">
        <v>11678283</v>
      </c>
      <c r="C65" s="10" t="n">
        <v>26013800</v>
      </c>
      <c r="D65" s="11">
        <f>B65/C65*100</f>
        <v/>
      </c>
    </row>
    <row r="66">
      <c r="A66" s="9" t="inlineStr">
        <is>
          <t>2022 Q3</t>
        </is>
      </c>
      <c r="B66" s="10" t="n">
        <v>11763117</v>
      </c>
      <c r="C66" s="10" t="n">
        <v>26164362</v>
      </c>
      <c r="D66" s="11">
        <f>B66/C66*100</f>
        <v/>
      </c>
    </row>
    <row r="67">
      <c r="A67" s="9" t="inlineStr">
        <is>
          <t>2022 Q4</t>
        </is>
      </c>
      <c r="B67" s="10" t="n">
        <v>11815482</v>
      </c>
      <c r="C67" s="10" t="n">
        <v>26315341</v>
      </c>
      <c r="D67" s="11">
        <f>B67/C67*100</f>
        <v/>
      </c>
    </row>
    <row r="68">
      <c r="A68" s="9" t="inlineStr">
        <is>
          <t>2023 Q1</t>
        </is>
      </c>
      <c r="B68" s="10" t="n">
        <v>11878836</v>
      </c>
      <c r="C68" s="10" t="n">
        <v>26509345</v>
      </c>
      <c r="D68" s="11">
        <f>B68/C68*100</f>
        <v/>
      </c>
    </row>
    <row r="69">
      <c r="A69" s="9" t="inlineStr">
        <is>
          <t>2023 Q2</t>
        </is>
      </c>
      <c r="B69" s="10" t="n">
        <v>11948443</v>
      </c>
      <c r="C69" s="10" t="n">
        <v>26654952</v>
      </c>
      <c r="D69" s="11">
        <f>B69/C69*100</f>
        <v/>
      </c>
    </row>
    <row r="70">
      <c r="A70" s="9" t="inlineStr">
        <is>
          <t>2023 Q3</t>
        </is>
      </c>
      <c r="B70" s="10" t="n">
        <v>12038013</v>
      </c>
      <c r="C70" s="10" t="n">
        <v>26826139</v>
      </c>
      <c r="D70" s="11">
        <f>B70/C70*100</f>
        <v/>
      </c>
    </row>
    <row r="71">
      <c r="A71" s="9" t="inlineStr">
        <is>
          <t>2023 Q4</t>
        </is>
      </c>
      <c r="B71" s="10" t="n">
        <v>12092921</v>
      </c>
      <c r="C71" s="10" t="n">
        <v>26951681</v>
      </c>
      <c r="D71" s="11">
        <f>B71/C71*100</f>
        <v/>
      </c>
    </row>
    <row r="72">
      <c r="A72" s="9" t="inlineStr">
        <is>
          <t>2024 Q1</t>
        </is>
      </c>
      <c r="B72" s="10" t="n">
        <v>12171944</v>
      </c>
      <c r="C72" s="10" t="n">
        <v>27108534</v>
      </c>
      <c r="D72" s="11">
        <f>B72/C72*100</f>
        <v/>
      </c>
    </row>
    <row r="73">
      <c r="A73" s="9" t="inlineStr">
        <is>
          <t>2024 Q2</t>
        </is>
      </c>
      <c r="B73" s="10" t="n">
        <v>12235920</v>
      </c>
      <c r="C73" s="10" t="n">
        <v>27189291</v>
      </c>
      <c r="D73" s="11">
        <f>B73/C73*100</f>
        <v/>
      </c>
    </row>
    <row r="74">
      <c r="A74" s="9" t="inlineStr">
        <is>
          <t>2024 Q3</t>
        </is>
      </c>
      <c r="B74" s="10" t="n">
        <v>12341521</v>
      </c>
      <c r="C74" s="10" t="n">
        <v>27296163</v>
      </c>
      <c r="D74" s="11">
        <f>B74/C74*100</f>
        <v/>
      </c>
    </row>
    <row r="75">
      <c r="A75" s="9" t="inlineStr">
        <is>
          <t>2024 Q4</t>
        </is>
      </c>
      <c r="B75" s="10" t="n">
        <v>12400800</v>
      </c>
      <c r="C75" s="10" t="n">
        <v>27383135</v>
      </c>
      <c r="D75" s="11">
        <f>B75/C75*100</f>
        <v/>
      </c>
    </row>
    <row r="76">
      <c r="A76" s="9" t="inlineStr">
        <is>
          <t>2025 Q1</t>
        </is>
      </c>
      <c r="B76" s="10" t="n">
        <v>12482109</v>
      </c>
      <c r="C76" s="10" t="n">
        <v>27526440</v>
      </c>
      <c r="D76" s="11">
        <f>B76/C76*100</f>
        <v/>
      </c>
    </row>
    <row r="77">
      <c r="A77" s="9" t="inlineStr">
        <is>
          <t>2025 Q2</t>
        </is>
      </c>
      <c r="B77" s="10" t="n">
        <v>12531009</v>
      </c>
      <c r="C77" s="10" t="n">
        <v>27608641</v>
      </c>
      <c r="D77" s="11">
        <f>B77/C77*100</f>
        <v/>
      </c>
    </row>
    <row r="78">
      <c r="A78" s="9" t="inlineStr">
        <is>
          <t>2025 Q3</t>
        </is>
      </c>
      <c r="B78" s="10" t="n">
        <v>12633931</v>
      </c>
      <c r="C78" s="10" t="n">
        <v>27719726</v>
      </c>
      <c r="D78" s="11">
        <f>B78/C78*100</f>
        <v/>
      </c>
    </row>
    <row r="79">
      <c r="A79" s="9" t="inlineStr">
        <is>
          <t>2025 Q4</t>
        </is>
      </c>
      <c r="B79" s="10" t="n">
        <v>12688193</v>
      </c>
      <c r="C79" s="10" t="n">
        <v>27828925</v>
      </c>
      <c r="D79" s="11">
        <f>B79/C79*100</f>
        <v/>
      </c>
    </row>
    <row r="80">
      <c r="A80" s="9" t="inlineStr">
        <is>
          <t>2026 Q1</t>
        </is>
      </c>
      <c r="B80" s="10" t="n">
        <v>12790111</v>
      </c>
      <c r="C80" s="10" t="n">
        <v>27930779</v>
      </c>
      <c r="D80" s="11">
        <f>B80/C80*100</f>
        <v/>
      </c>
    </row>
    <row r="82">
      <c r="A82" s="3" t="inlineStr">
        <is>
          <t>重點</t>
        </is>
      </c>
    </row>
    <row r="83">
      <c r="A83" s="12" t="inlineStr">
        <is>
          <t>最早(2007 Q2)</t>
        </is>
      </c>
      <c r="B83" s="13">
        <f>D5</f>
        <v/>
      </c>
    </row>
    <row r="84">
      <c r="A84" s="12" t="inlineStr">
        <is>
          <t>最高峰</t>
        </is>
      </c>
      <c r="B84" s="13">
        <f>MAX(D5:D80)</f>
        <v/>
      </c>
    </row>
    <row r="85">
      <c r="A85" s="12" t="inlineStr">
        <is>
          <t>最低谷</t>
        </is>
      </c>
      <c r="B85" s="13">
        <f>MIN(D5:D80)</f>
        <v/>
      </c>
    </row>
    <row r="86">
      <c r="A86" s="12" t="inlineStr">
        <is>
          <t>最新(2026 Q1)</t>
        </is>
      </c>
      <c r="B86" s="13">
        <f>D80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2" customWidth="1" min="4" max="4"/>
  </cols>
  <sheetData>
    <row r="1">
      <c r="A1" s="7" t="inlineStr">
        <is>
          <t>40 歲以下投保人占比</t>
        </is>
      </c>
    </row>
    <row r="2">
      <c r="A2" s="2" t="inlineStr">
        <is>
          <t>來源:APRA Membership Trends(MembershipByAgeData)。占比欄為公式。</t>
        </is>
      </c>
    </row>
    <row r="4">
      <c r="A4" s="8" t="inlineStr">
        <is>
          <t>季別</t>
        </is>
      </c>
      <c r="B4" s="8" t="inlineStr">
        <is>
          <t>投保總人數</t>
        </is>
      </c>
      <c r="C4" s="8" t="inlineStr">
        <is>
          <t>40 歲以下人數</t>
        </is>
      </c>
      <c r="D4" s="8" t="inlineStr">
        <is>
          <t>&lt;40 占比 %</t>
        </is>
      </c>
    </row>
    <row r="5">
      <c r="A5" s="9" t="inlineStr">
        <is>
          <t>2007 Q2</t>
        </is>
      </c>
      <c r="B5" s="10" t="n">
        <v>9144641</v>
      </c>
      <c r="C5" s="10" t="n">
        <v>4411322</v>
      </c>
      <c r="D5" s="11">
        <f>C5/B5*100</f>
        <v/>
      </c>
    </row>
    <row r="6">
      <c r="A6" s="9" t="inlineStr">
        <is>
          <t>2007 Q3</t>
        </is>
      </c>
      <c r="B6" s="10" t="n">
        <v>9292209</v>
      </c>
      <c r="C6" s="10" t="n">
        <v>4507825</v>
      </c>
      <c r="D6" s="11">
        <f>C6/B6*100</f>
        <v/>
      </c>
    </row>
    <row r="7">
      <c r="A7" s="9" t="inlineStr">
        <is>
          <t>2007 Q4</t>
        </is>
      </c>
      <c r="B7" s="10" t="n">
        <v>9391489</v>
      </c>
      <c r="C7" s="10" t="n">
        <v>4561376</v>
      </c>
      <c r="D7" s="11">
        <f>C7/B7*100</f>
        <v/>
      </c>
    </row>
    <row r="8">
      <c r="A8" s="9" t="inlineStr">
        <is>
          <t>2008 Q1</t>
        </is>
      </c>
      <c r="B8" s="10" t="n">
        <v>9476921</v>
      </c>
      <c r="C8" s="10" t="n">
        <v>4610831</v>
      </c>
      <c r="D8" s="11">
        <f>C8/B8*100</f>
        <v/>
      </c>
    </row>
    <row r="9">
      <c r="A9" s="9" t="inlineStr">
        <is>
          <t>2008 Q2</t>
        </is>
      </c>
      <c r="B9" s="10" t="n">
        <v>9533979</v>
      </c>
      <c r="C9" s="10" t="n">
        <v>4641672</v>
      </c>
      <c r="D9" s="11">
        <f>C9/B9*100</f>
        <v/>
      </c>
    </row>
    <row r="10">
      <c r="A10" s="9" t="inlineStr">
        <is>
          <t>2008 Q3</t>
        </is>
      </c>
      <c r="B10" s="10" t="n">
        <v>9602372</v>
      </c>
      <c r="C10" s="10" t="n">
        <v>4678478</v>
      </c>
      <c r="D10" s="11">
        <f>C10/B10*100</f>
        <v/>
      </c>
    </row>
    <row r="11">
      <c r="A11" s="9" t="inlineStr">
        <is>
          <t>2008 Q4</t>
        </is>
      </c>
      <c r="B11" s="10" t="n">
        <v>9656848</v>
      </c>
      <c r="C11" s="10" t="n">
        <v>4697510</v>
      </c>
      <c r="D11" s="11">
        <f>C11/B11*100</f>
        <v/>
      </c>
    </row>
    <row r="12">
      <c r="A12" s="9" t="inlineStr">
        <is>
          <t>2009 Q1</t>
        </is>
      </c>
      <c r="B12" s="10" t="n">
        <v>9702117</v>
      </c>
      <c r="C12" s="10" t="n">
        <v>4716132</v>
      </c>
      <c r="D12" s="11">
        <f>C12/B12*100</f>
        <v/>
      </c>
    </row>
    <row r="13">
      <c r="A13" s="9" t="inlineStr">
        <is>
          <t>2009 Q2</t>
        </is>
      </c>
      <c r="B13" s="10" t="n">
        <v>9745242</v>
      </c>
      <c r="C13" s="10" t="n">
        <v>4732284</v>
      </c>
      <c r="D13" s="11">
        <f>C13/B13*100</f>
        <v/>
      </c>
    </row>
    <row r="14">
      <c r="A14" s="9" t="inlineStr">
        <is>
          <t>2009 Q3</t>
        </is>
      </c>
      <c r="B14" s="10" t="n">
        <v>9820963</v>
      </c>
      <c r="C14" s="10" t="n">
        <v>4770379</v>
      </c>
      <c r="D14" s="11">
        <f>C14/B14*100</f>
        <v/>
      </c>
    </row>
    <row r="15">
      <c r="A15" s="9" t="inlineStr">
        <is>
          <t>2009 Q4</t>
        </is>
      </c>
      <c r="B15" s="10" t="n">
        <v>9866201</v>
      </c>
      <c r="C15" s="10" t="n">
        <v>4779258</v>
      </c>
      <c r="D15" s="11">
        <f>C15/B15*100</f>
        <v/>
      </c>
    </row>
    <row r="16">
      <c r="A16" s="9" t="inlineStr">
        <is>
          <t>2010 Q1</t>
        </is>
      </c>
      <c r="B16" s="10" t="n">
        <v>9912887</v>
      </c>
      <c r="C16" s="10" t="n">
        <v>4793143</v>
      </c>
      <c r="D16" s="11">
        <f>C16/B16*100</f>
        <v/>
      </c>
    </row>
    <row r="17">
      <c r="A17" s="9" t="inlineStr">
        <is>
          <t>2010 Q2</t>
        </is>
      </c>
      <c r="B17" s="10" t="n">
        <v>9973864</v>
      </c>
      <c r="C17" s="10" t="n">
        <v>4820508</v>
      </c>
      <c r="D17" s="11">
        <f>C17/B17*100</f>
        <v/>
      </c>
    </row>
    <row r="18">
      <c r="A18" s="9" t="inlineStr">
        <is>
          <t>2010 Q3</t>
        </is>
      </c>
      <c r="B18" s="10" t="n">
        <v>10064043</v>
      </c>
      <c r="C18" s="10" t="n">
        <v>4867682</v>
      </c>
      <c r="D18" s="11">
        <f>C18/B18*100</f>
        <v/>
      </c>
    </row>
    <row r="19">
      <c r="A19" s="9" t="inlineStr">
        <is>
          <t>2010 Q4</t>
        </is>
      </c>
      <c r="B19" s="10" t="n">
        <v>10117522</v>
      </c>
      <c r="C19" s="10" t="n">
        <v>4879662</v>
      </c>
      <c r="D19" s="11">
        <f>C19/B19*100</f>
        <v/>
      </c>
    </row>
    <row r="20">
      <c r="A20" s="9" t="inlineStr">
        <is>
          <t>2011 Q1</t>
        </is>
      </c>
      <c r="B20" s="10" t="n">
        <v>10168295</v>
      </c>
      <c r="C20" s="10" t="n">
        <v>4897369</v>
      </c>
      <c r="D20" s="11">
        <f>C20/B20*100</f>
        <v/>
      </c>
    </row>
    <row r="21">
      <c r="A21" s="9" t="inlineStr">
        <is>
          <t>2011 Q2</t>
        </is>
      </c>
      <c r="B21" s="10" t="n">
        <v>10255675</v>
      </c>
      <c r="C21" s="10" t="n">
        <v>4944759</v>
      </c>
      <c r="D21" s="11">
        <f>C21/B21*100</f>
        <v/>
      </c>
    </row>
    <row r="22">
      <c r="A22" s="9" t="inlineStr">
        <is>
          <t>2011 Q3</t>
        </is>
      </c>
      <c r="B22" s="10" t="n">
        <v>10353096</v>
      </c>
      <c r="C22" s="10" t="n">
        <v>4995378</v>
      </c>
      <c r="D22" s="11">
        <f>C22/B22*100</f>
        <v/>
      </c>
    </row>
    <row r="23">
      <c r="A23" s="9" t="inlineStr">
        <is>
          <t>2011 Q4</t>
        </is>
      </c>
      <c r="B23" s="10" t="n">
        <v>10403680</v>
      </c>
      <c r="C23" s="10" t="n">
        <v>5006772</v>
      </c>
      <c r="D23" s="11">
        <f>C23/B23*100</f>
        <v/>
      </c>
    </row>
    <row r="24">
      <c r="A24" s="9" t="inlineStr">
        <is>
          <t>2012 Q1</t>
        </is>
      </c>
      <c r="B24" s="10" t="n">
        <v>10455462</v>
      </c>
      <c r="C24" s="10" t="n">
        <v>5025509</v>
      </c>
      <c r="D24" s="11">
        <f>C24/B24*100</f>
        <v/>
      </c>
    </row>
    <row r="25">
      <c r="A25" s="9" t="inlineStr">
        <is>
          <t>2012 Q2</t>
        </is>
      </c>
      <c r="B25" s="10" t="n">
        <v>10587828</v>
      </c>
      <c r="C25" s="10" t="n">
        <v>5103797</v>
      </c>
      <c r="D25" s="11">
        <f>C25/B25*100</f>
        <v/>
      </c>
    </row>
    <row r="26">
      <c r="A26" s="9" t="inlineStr">
        <is>
          <t>2012 Q3</t>
        </is>
      </c>
      <c r="B26" s="10" t="n">
        <v>10670956</v>
      </c>
      <c r="C26" s="10" t="n">
        <v>5147402</v>
      </c>
      <c r="D26" s="11">
        <f>C26/B26*100</f>
        <v/>
      </c>
    </row>
    <row r="27">
      <c r="A27" s="9" t="inlineStr">
        <is>
          <t>2012 Q4</t>
        </is>
      </c>
      <c r="B27" s="10" t="n">
        <v>10710319</v>
      </c>
      <c r="C27" s="10" t="n">
        <v>5151653</v>
      </c>
      <c r="D27" s="11">
        <f>C27/B27*100</f>
        <v/>
      </c>
    </row>
    <row r="28">
      <c r="A28" s="9" t="inlineStr">
        <is>
          <t>2013 Q1</t>
        </is>
      </c>
      <c r="B28" s="10" t="n">
        <v>10763182</v>
      </c>
      <c r="C28" s="10" t="n">
        <v>5171370</v>
      </c>
      <c r="D28" s="11">
        <f>C28/B28*100</f>
        <v/>
      </c>
    </row>
    <row r="29">
      <c r="A29" s="9" t="inlineStr">
        <is>
          <t>2013 Q2</t>
        </is>
      </c>
      <c r="B29" s="10" t="n">
        <v>10850227</v>
      </c>
      <c r="C29" s="10" t="n">
        <v>5222549</v>
      </c>
      <c r="D29" s="11">
        <f>C29/B29*100</f>
        <v/>
      </c>
    </row>
    <row r="30">
      <c r="A30" s="9" t="inlineStr">
        <is>
          <t>2013 Q3</t>
        </is>
      </c>
      <c r="B30" s="10" t="n">
        <v>10926523</v>
      </c>
      <c r="C30" s="10" t="n">
        <v>5265047</v>
      </c>
      <c r="D30" s="11">
        <f>C30/B30*100</f>
        <v/>
      </c>
    </row>
    <row r="31">
      <c r="A31" s="9" t="inlineStr">
        <is>
          <t>2013 Q4</t>
        </is>
      </c>
      <c r="B31" s="10" t="n">
        <v>10958428</v>
      </c>
      <c r="C31" s="10" t="n">
        <v>5264517</v>
      </c>
      <c r="D31" s="11">
        <f>C31/B31*100</f>
        <v/>
      </c>
    </row>
    <row r="32">
      <c r="A32" s="9" t="inlineStr">
        <is>
          <t>2014 Q1</t>
        </is>
      </c>
      <c r="B32" s="10" t="n">
        <v>11004273</v>
      </c>
      <c r="C32" s="10" t="n">
        <v>5279550</v>
      </c>
      <c r="D32" s="11">
        <f>C32/B32*100</f>
        <v/>
      </c>
    </row>
    <row r="33">
      <c r="A33" s="9" t="inlineStr">
        <is>
          <t>2014 Q2</t>
        </is>
      </c>
      <c r="B33" s="10" t="n">
        <v>11091439</v>
      </c>
      <c r="C33" s="10" t="n">
        <v>5333941</v>
      </c>
      <c r="D33" s="11">
        <f>C33/B33*100</f>
        <v/>
      </c>
    </row>
    <row r="34">
      <c r="A34" s="9" t="inlineStr">
        <is>
          <t>2014 Q3</t>
        </is>
      </c>
      <c r="B34" s="10" t="n">
        <v>11152243</v>
      </c>
      <c r="C34" s="10" t="n">
        <v>5361341</v>
      </c>
      <c r="D34" s="11">
        <f>C34/B34*100</f>
        <v/>
      </c>
    </row>
    <row r="35">
      <c r="A35" s="9" t="inlineStr">
        <is>
          <t>2014 Q4</t>
        </is>
      </c>
      <c r="B35" s="10" t="n">
        <v>11180711</v>
      </c>
      <c r="C35" s="10" t="n">
        <v>5358316</v>
      </c>
      <c r="D35" s="11">
        <f>C35/B35*100</f>
        <v/>
      </c>
    </row>
    <row r="36">
      <c r="A36" s="9" t="inlineStr">
        <is>
          <t>2015 Q1</t>
        </is>
      </c>
      <c r="B36" s="10" t="n">
        <v>11229284</v>
      </c>
      <c r="C36" s="10" t="n">
        <v>5370471</v>
      </c>
      <c r="D36" s="11">
        <f>C36/B36*100</f>
        <v/>
      </c>
    </row>
    <row r="37">
      <c r="A37" s="9" t="inlineStr">
        <is>
          <t>2015 Q2</t>
        </is>
      </c>
      <c r="B37" s="10" t="n">
        <v>11276328</v>
      </c>
      <c r="C37" s="10" t="n">
        <v>5405335</v>
      </c>
      <c r="D37" s="11">
        <f>C37/B37*100</f>
        <v/>
      </c>
    </row>
    <row r="38">
      <c r="A38" s="9" t="inlineStr">
        <is>
          <t>2015 Q3</t>
        </is>
      </c>
      <c r="B38" s="10" t="n">
        <v>11302105</v>
      </c>
      <c r="C38" s="10" t="n">
        <v>5410889</v>
      </c>
      <c r="D38" s="11">
        <f>C38/B38*100</f>
        <v/>
      </c>
    </row>
    <row r="39">
      <c r="A39" s="9" t="inlineStr">
        <is>
          <t>2015 Q4</t>
        </is>
      </c>
      <c r="B39" s="10" t="n">
        <v>11308465</v>
      </c>
      <c r="C39" s="10" t="n">
        <v>5394577</v>
      </c>
      <c r="D39" s="11">
        <f>C39/B39*100</f>
        <v/>
      </c>
    </row>
    <row r="40">
      <c r="A40" s="9" t="inlineStr">
        <is>
          <t>2016 Q1</t>
        </is>
      </c>
      <c r="B40" s="10" t="n">
        <v>11331535</v>
      </c>
      <c r="C40" s="10" t="n">
        <v>5393307</v>
      </c>
      <c r="D40" s="11">
        <f>C40/B40*100</f>
        <v/>
      </c>
    </row>
    <row r="41">
      <c r="A41" s="9" t="inlineStr">
        <is>
          <t>2016 Q2</t>
        </is>
      </c>
      <c r="B41" s="10" t="n">
        <v>11328577</v>
      </c>
      <c r="C41" s="10" t="n">
        <v>5396218</v>
      </c>
      <c r="D41" s="11">
        <f>C41/B41*100</f>
        <v/>
      </c>
    </row>
    <row r="42">
      <c r="A42" s="9" t="inlineStr">
        <is>
          <t>2016 Q3</t>
        </is>
      </c>
      <c r="B42" s="10" t="n">
        <v>11335297</v>
      </c>
      <c r="C42" s="10" t="n">
        <v>5386680</v>
      </c>
      <c r="D42" s="11">
        <f>C42/B42*100</f>
        <v/>
      </c>
    </row>
    <row r="43">
      <c r="A43" s="9" t="inlineStr">
        <is>
          <t>2016 Q4</t>
        </is>
      </c>
      <c r="B43" s="10" t="n">
        <v>11327512</v>
      </c>
      <c r="C43" s="10" t="n">
        <v>5358546</v>
      </c>
      <c r="D43" s="11">
        <f>C43/B43*100</f>
        <v/>
      </c>
    </row>
    <row r="44">
      <c r="A44" s="9" t="inlineStr">
        <is>
          <t>2017 Q1</t>
        </is>
      </c>
      <c r="B44" s="10" t="n">
        <v>11353517</v>
      </c>
      <c r="C44" s="10" t="n">
        <v>5356552</v>
      </c>
      <c r="D44" s="11">
        <f>C44/B44*100</f>
        <v/>
      </c>
    </row>
    <row r="45">
      <c r="A45" s="9" t="inlineStr">
        <is>
          <t>2017 Q2</t>
        </is>
      </c>
      <c r="B45" s="10" t="n">
        <v>11318742</v>
      </c>
      <c r="C45" s="10" t="n">
        <v>5337092</v>
      </c>
      <c r="D45" s="11">
        <f>C45/B45*100</f>
        <v/>
      </c>
    </row>
    <row r="46">
      <c r="A46" s="9" t="inlineStr">
        <is>
          <t>2017 Q3</t>
        </is>
      </c>
      <c r="B46" s="10" t="n">
        <v>11318588</v>
      </c>
      <c r="C46" s="10" t="n">
        <v>5324478</v>
      </c>
      <c r="D46" s="11">
        <f>C46/B46*100</f>
        <v/>
      </c>
    </row>
    <row r="47">
      <c r="A47" s="9" t="inlineStr">
        <is>
          <t>2017 Q4</t>
        </is>
      </c>
      <c r="B47" s="10" t="n">
        <v>11306294</v>
      </c>
      <c r="C47" s="10" t="n">
        <v>5296060</v>
      </c>
      <c r="D47" s="11">
        <f>C47/B47*100</f>
        <v/>
      </c>
    </row>
    <row r="48">
      <c r="A48" s="9" t="inlineStr">
        <is>
          <t>2018 Q1</t>
        </is>
      </c>
      <c r="B48" s="10" t="n">
        <v>11316775</v>
      </c>
      <c r="C48" s="10" t="n">
        <v>5285199</v>
      </c>
      <c r="D48" s="11">
        <f>C48/B48*100</f>
        <v/>
      </c>
    </row>
    <row r="49">
      <c r="A49" s="9" t="inlineStr">
        <is>
          <t>2018 Q2</t>
        </is>
      </c>
      <c r="B49" s="10" t="n">
        <v>11259263</v>
      </c>
      <c r="C49" s="10" t="n">
        <v>5248654</v>
      </c>
      <c r="D49" s="11">
        <f>C49/B49*100</f>
        <v/>
      </c>
    </row>
    <row r="50">
      <c r="A50" s="9" t="inlineStr">
        <is>
          <t>2018 Q3</t>
        </is>
      </c>
      <c r="B50" s="10" t="n">
        <v>11254007</v>
      </c>
      <c r="C50" s="10" t="n">
        <v>5232624</v>
      </c>
      <c r="D50" s="11">
        <f>C50/B50*100</f>
        <v/>
      </c>
    </row>
    <row r="51">
      <c r="A51" s="9" t="inlineStr">
        <is>
          <t>2018 Q4</t>
        </is>
      </c>
      <c r="B51" s="10" t="n">
        <v>11241637</v>
      </c>
      <c r="C51" s="10" t="n">
        <v>5201854</v>
      </c>
      <c r="D51" s="11">
        <f>C51/B51*100</f>
        <v/>
      </c>
    </row>
    <row r="52">
      <c r="A52" s="9" t="inlineStr">
        <is>
          <t>2019 Q1</t>
        </is>
      </c>
      <c r="B52" s="10" t="n">
        <v>11256108</v>
      </c>
      <c r="C52" s="10" t="n">
        <v>5195760</v>
      </c>
      <c r="D52" s="11">
        <f>C52/B52*100</f>
        <v/>
      </c>
    </row>
    <row r="53">
      <c r="A53" s="9" t="inlineStr">
        <is>
          <t>2019 Q2</t>
        </is>
      </c>
      <c r="B53" s="10" t="n">
        <v>11227569</v>
      </c>
      <c r="C53" s="10" t="n">
        <v>5176156</v>
      </c>
      <c r="D53" s="11">
        <f>C53/B53*100</f>
        <v/>
      </c>
    </row>
    <row r="54">
      <c r="A54" s="9" t="inlineStr">
        <is>
          <t>2019 Q3</t>
        </is>
      </c>
      <c r="B54" s="10" t="n">
        <v>11242726</v>
      </c>
      <c r="C54" s="10" t="n">
        <v>5176243</v>
      </c>
      <c r="D54" s="11">
        <f>C54/B54*100</f>
        <v/>
      </c>
    </row>
    <row r="55">
      <c r="A55" s="9" t="inlineStr">
        <is>
          <t>2019 Q4</t>
        </is>
      </c>
      <c r="B55" s="10" t="n">
        <v>11233123</v>
      </c>
      <c r="C55" s="10" t="n">
        <v>5150139</v>
      </c>
      <c r="D55" s="11">
        <f>C55/B55*100</f>
        <v/>
      </c>
    </row>
    <row r="56">
      <c r="A56" s="9" t="inlineStr">
        <is>
          <t>2020 Q1</t>
        </is>
      </c>
      <c r="B56" s="10" t="n">
        <v>11225962</v>
      </c>
      <c r="C56" s="10" t="n">
        <v>5127777</v>
      </c>
      <c r="D56" s="11">
        <f>C56/B56*100</f>
        <v/>
      </c>
    </row>
    <row r="57">
      <c r="A57" s="9" t="inlineStr">
        <is>
          <t>2020 Q2</t>
        </is>
      </c>
      <c r="B57" s="10" t="n">
        <v>11197395</v>
      </c>
      <c r="C57" s="10" t="n">
        <v>5108506</v>
      </c>
      <c r="D57" s="11">
        <f>C57/B57*100</f>
        <v/>
      </c>
    </row>
    <row r="58">
      <c r="A58" s="9" t="inlineStr">
        <is>
          <t>2020 Q3</t>
        </is>
      </c>
      <c r="B58" s="10" t="n">
        <v>11301501</v>
      </c>
      <c r="C58" s="10" t="n">
        <v>5165142</v>
      </c>
      <c r="D58" s="11">
        <f>C58/B58*100</f>
        <v/>
      </c>
    </row>
    <row r="59">
      <c r="A59" s="9" t="inlineStr">
        <is>
          <t>2020 Q4</t>
        </is>
      </c>
      <c r="B59" s="10" t="n">
        <v>11336302</v>
      </c>
      <c r="C59" s="10" t="n">
        <v>5167843</v>
      </c>
      <c r="D59" s="11">
        <f>C59/B59*100</f>
        <v/>
      </c>
    </row>
    <row r="60">
      <c r="A60" s="9" t="inlineStr">
        <is>
          <t>2021 Q1</t>
        </is>
      </c>
      <c r="B60" s="10" t="n">
        <v>11396181</v>
      </c>
      <c r="C60" s="10" t="n">
        <v>5184586</v>
      </c>
      <c r="D60" s="11">
        <f>C60/B60*100</f>
        <v/>
      </c>
    </row>
    <row r="61">
      <c r="A61" s="9" t="inlineStr">
        <is>
          <t>2021 Q2</t>
        </is>
      </c>
      <c r="B61" s="10" t="n">
        <v>11442584</v>
      </c>
      <c r="C61" s="10" t="n">
        <v>5200906</v>
      </c>
      <c r="D61" s="11">
        <f>C61/B61*100</f>
        <v/>
      </c>
    </row>
    <row r="62">
      <c r="A62" s="9" t="inlineStr">
        <is>
          <t>2021 Q3</t>
        </is>
      </c>
      <c r="B62" s="10" t="n">
        <v>11506349</v>
      </c>
      <c r="C62" s="10" t="n">
        <v>5229774</v>
      </c>
      <c r="D62" s="11">
        <f>C62/B62*100</f>
        <v/>
      </c>
    </row>
    <row r="63">
      <c r="A63" s="9" t="inlineStr">
        <is>
          <t>2021 Q4</t>
        </is>
      </c>
      <c r="B63" s="10" t="n">
        <v>11564806</v>
      </c>
      <c r="C63" s="10" t="n">
        <v>5247296</v>
      </c>
      <c r="D63" s="11">
        <f>C63/B63*100</f>
        <v/>
      </c>
    </row>
    <row r="64">
      <c r="A64" s="9" t="inlineStr">
        <is>
          <t>2022 Q1</t>
        </is>
      </c>
      <c r="B64" s="10" t="n">
        <v>11621039</v>
      </c>
      <c r="C64" s="10" t="n">
        <v>5263232</v>
      </c>
      <c r="D64" s="11">
        <f>C64/B64*100</f>
        <v/>
      </c>
    </row>
    <row r="65">
      <c r="A65" s="9" t="inlineStr">
        <is>
          <t>2022 Q2</t>
        </is>
      </c>
      <c r="B65" s="10" t="n">
        <v>11678283</v>
      </c>
      <c r="C65" s="10" t="n">
        <v>5289679</v>
      </c>
      <c r="D65" s="11">
        <f>C65/B65*100</f>
        <v/>
      </c>
    </row>
    <row r="66">
      <c r="A66" s="9" t="inlineStr">
        <is>
          <t>2022 Q3</t>
        </is>
      </c>
      <c r="B66" s="10" t="n">
        <v>11763117</v>
      </c>
      <c r="C66" s="10" t="n">
        <v>5332983</v>
      </c>
      <c r="D66" s="11">
        <f>C66/B66*100</f>
        <v/>
      </c>
    </row>
    <row r="67">
      <c r="A67" s="9" t="inlineStr">
        <is>
          <t>2022 Q4</t>
        </is>
      </c>
      <c r="B67" s="10" t="n">
        <v>11815482</v>
      </c>
      <c r="C67" s="10" t="n">
        <v>5347951</v>
      </c>
      <c r="D67" s="11">
        <f>C67/B67*100</f>
        <v/>
      </c>
    </row>
    <row r="68">
      <c r="A68" s="9" t="inlineStr">
        <is>
          <t>2023 Q1</t>
        </is>
      </c>
      <c r="B68" s="10" t="n">
        <v>11878836</v>
      </c>
      <c r="C68" s="10" t="n">
        <v>5371557</v>
      </c>
      <c r="D68" s="11">
        <f>C68/B68*100</f>
        <v/>
      </c>
    </row>
    <row r="69">
      <c r="A69" s="9" t="inlineStr">
        <is>
          <t>2023 Q2</t>
        </is>
      </c>
      <c r="B69" s="10" t="n">
        <v>11948443</v>
      </c>
      <c r="C69" s="10" t="n">
        <v>5411718</v>
      </c>
      <c r="D69" s="11">
        <f>C69/B69*100</f>
        <v/>
      </c>
    </row>
    <row r="70">
      <c r="A70" s="9" t="inlineStr">
        <is>
          <t>2023 Q3</t>
        </is>
      </c>
      <c r="B70" s="10" t="n">
        <v>12038013</v>
      </c>
      <c r="C70" s="10" t="n">
        <v>5455573</v>
      </c>
      <c r="D70" s="11">
        <f>C70/B70*100</f>
        <v/>
      </c>
    </row>
    <row r="71">
      <c r="A71" s="9" t="inlineStr">
        <is>
          <t>2023 Q4</t>
        </is>
      </c>
      <c r="B71" s="10" t="n">
        <v>12092921</v>
      </c>
      <c r="C71" s="10" t="n">
        <v>5468209</v>
      </c>
      <c r="D71" s="11">
        <f>C71/B71*100</f>
        <v/>
      </c>
    </row>
    <row r="72">
      <c r="A72" s="9" t="inlineStr">
        <is>
          <t>2024 Q1</t>
        </is>
      </c>
      <c r="B72" s="10" t="n">
        <v>12171944</v>
      </c>
      <c r="C72" s="10" t="n">
        <v>5499889</v>
      </c>
      <c r="D72" s="11">
        <f>C72/B72*100</f>
        <v/>
      </c>
    </row>
    <row r="73">
      <c r="A73" s="9" t="inlineStr">
        <is>
          <t>2024 Q2</t>
        </is>
      </c>
      <c r="B73" s="10" t="n">
        <v>12235920</v>
      </c>
      <c r="C73" s="10" t="n">
        <v>5533585</v>
      </c>
      <c r="D73" s="11">
        <f>C73/B73*100</f>
        <v/>
      </c>
    </row>
    <row r="74">
      <c r="A74" s="9" t="inlineStr">
        <is>
          <t>2024 Q3</t>
        </is>
      </c>
      <c r="B74" s="10" t="n">
        <v>12341521</v>
      </c>
      <c r="C74" s="10" t="n">
        <v>5591885</v>
      </c>
      <c r="D74" s="11">
        <f>C74/B74*100</f>
        <v/>
      </c>
    </row>
    <row r="75">
      <c r="A75" s="9" t="inlineStr">
        <is>
          <t>2024 Q4</t>
        </is>
      </c>
      <c r="B75" s="10" t="n">
        <v>12400800</v>
      </c>
      <c r="C75" s="10" t="n">
        <v>5606147</v>
      </c>
      <c r="D75" s="11">
        <f>C75/B75*100</f>
        <v/>
      </c>
    </row>
    <row r="76">
      <c r="A76" s="9" t="inlineStr">
        <is>
          <t>2025 Q1</t>
        </is>
      </c>
      <c r="B76" s="10" t="n">
        <v>12482109</v>
      </c>
      <c r="C76" s="10" t="n">
        <v>5637498</v>
      </c>
      <c r="D76" s="11">
        <f>C76/B76*100</f>
        <v/>
      </c>
    </row>
    <row r="77">
      <c r="A77" s="9" t="inlineStr">
        <is>
          <t>2025 Q2</t>
        </is>
      </c>
      <c r="B77" s="10" t="n">
        <v>12531009</v>
      </c>
      <c r="C77" s="10" t="n">
        <v>5661191</v>
      </c>
      <c r="D77" s="11">
        <f>C77/B77*100</f>
        <v/>
      </c>
    </row>
    <row r="78">
      <c r="A78" s="9" t="inlineStr">
        <is>
          <t>2025 Q3</t>
        </is>
      </c>
      <c r="B78" s="10" t="n">
        <v>12633931</v>
      </c>
      <c r="C78" s="10" t="n">
        <v>5714566</v>
      </c>
      <c r="D78" s="11">
        <f>C78/B78*100</f>
        <v/>
      </c>
    </row>
    <row r="79">
      <c r="A79" s="9" t="inlineStr">
        <is>
          <t>2025 Q4</t>
        </is>
      </c>
      <c r="B79" s="10" t="n">
        <v>12688193</v>
      </c>
      <c r="C79" s="10" t="n">
        <v>5723748</v>
      </c>
      <c r="D79" s="11">
        <f>C79/B79*100</f>
        <v/>
      </c>
    </row>
    <row r="80">
      <c r="A80" s="9" t="inlineStr">
        <is>
          <t>2026 Q1</t>
        </is>
      </c>
      <c r="B80" s="10" t="n">
        <v>12790111</v>
      </c>
      <c r="C80" s="10" t="n">
        <v>5765739</v>
      </c>
      <c r="D80" s="11">
        <f>C80/B80*100</f>
        <v/>
      </c>
    </row>
    <row r="82">
      <c r="A82" s="3" t="inlineStr">
        <is>
          <t>最早 → 最新</t>
        </is>
      </c>
    </row>
    <row r="83">
      <c r="A83" s="12" t="inlineStr">
        <is>
          <t>2007 Q2</t>
        </is>
      </c>
      <c r="B83" s="13">
        <f>D5</f>
        <v/>
      </c>
    </row>
    <row r="84">
      <c r="A84" s="12" t="inlineStr">
        <is>
          <t>2026 Q1</t>
        </is>
      </c>
      <c r="B84" s="13">
        <f>D80</f>
        <v/>
      </c>
    </row>
    <row r="85">
      <c r="A85" s="12" t="inlineStr">
        <is>
          <t>下降(百分點)</t>
        </is>
      </c>
      <c r="B85" s="14">
        <f>D5-D80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3" customWidth="1" min="5" max="5"/>
    <col width="9" customWidth="1" min="6" max="6"/>
    <col width="11" customWidth="1" min="7" max="7"/>
    <col width="14" customWidth="1" min="8" max="8"/>
  </cols>
  <sheetData>
    <row r="1">
      <c r="A1" s="7" t="inlineStr">
        <is>
          <t>各保險商:保費市佔 + 利潤率(FY2024-25)</t>
        </is>
      </c>
    </row>
    <row r="2">
      <c r="A2" s="2" t="inlineStr">
        <is>
          <t>來源:APRA Annual PHI Performance, FY2024-25(Health insurance business)。市佔/利潤率/費用率為公式。</t>
        </is>
      </c>
    </row>
    <row r="4">
      <c r="A4" s="8" t="inlineStr">
        <is>
          <t>保險商</t>
        </is>
      </c>
      <c r="B4" s="8" t="inlineStr">
        <is>
          <t>保費收入 $</t>
        </is>
      </c>
      <c r="C4" s="8" t="inlineStr">
        <is>
          <t>理賠 $</t>
        </is>
      </c>
      <c r="D4" s="8" t="inlineStr">
        <is>
          <t>其他費用 $</t>
        </is>
      </c>
      <c r="E4" s="8" t="inlineStr">
        <is>
          <t>稅後淨利 $</t>
        </is>
      </c>
      <c r="F4" s="8" t="inlineStr">
        <is>
          <t>市佔 %</t>
        </is>
      </c>
      <c r="G4" s="8" t="inlineStr">
        <is>
          <t>淨利率 %</t>
        </is>
      </c>
      <c r="H4" s="8" t="inlineStr">
        <is>
          <t>管理費用率 %</t>
        </is>
      </c>
    </row>
    <row r="5">
      <c r="A5" s="9" t="inlineStr">
        <is>
          <t>Bupa</t>
        </is>
      </c>
      <c r="B5" s="10" t="n">
        <v>15426588000</v>
      </c>
      <c r="C5" s="10" t="n">
        <v>12723177000</v>
      </c>
      <c r="D5" s="10" t="n">
        <v>1847622000</v>
      </c>
      <c r="E5" s="10" t="n">
        <v>1005633000</v>
      </c>
      <c r="F5" s="11">
        <f>B5/SUM($B$5:$B$34)*100</f>
        <v/>
      </c>
      <c r="G5" s="11">
        <f>(1-(C5+D5)/B5)*100</f>
        <v/>
      </c>
      <c r="H5" s="11">
        <f>D5/B5*100</f>
        <v/>
      </c>
    </row>
    <row r="6">
      <c r="A6" s="9" t="inlineStr">
        <is>
          <t>Medibank</t>
        </is>
      </c>
      <c r="B6" s="10" t="n">
        <v>14958150000</v>
      </c>
      <c r="C6" s="10" t="n">
        <v>12750762000</v>
      </c>
      <c r="D6" s="10" t="n">
        <v>1132745000</v>
      </c>
      <c r="E6" s="10" t="n">
        <v>1125747000</v>
      </c>
      <c r="F6" s="11">
        <f>B6/SUM($B$5:$B$34)*100</f>
        <v/>
      </c>
      <c r="G6" s="11">
        <f>(1-(C6+D6)/B6)*100</f>
        <v/>
      </c>
      <c r="H6" s="11">
        <f>D6/B6*100</f>
        <v/>
      </c>
    </row>
    <row r="7">
      <c r="A7" s="9" t="inlineStr">
        <is>
          <t>HCF</t>
        </is>
      </c>
      <c r="B7" s="10" t="n">
        <v>8018916000</v>
      </c>
      <c r="C7" s="10" t="n">
        <v>7089765000</v>
      </c>
      <c r="D7" s="10" t="n">
        <v>994498000</v>
      </c>
      <c r="E7" s="10" t="n">
        <v>315534000</v>
      </c>
      <c r="F7" s="11">
        <f>B7/SUM($B$5:$B$34)*100</f>
        <v/>
      </c>
      <c r="G7" s="11">
        <f>(1-(C7+D7)/B7)*100</f>
        <v/>
      </c>
      <c r="H7" s="11">
        <f>D7/B7*100</f>
        <v/>
      </c>
    </row>
    <row r="8">
      <c r="A8" s="15" t="inlineStr">
        <is>
          <t>nib</t>
        </is>
      </c>
      <c r="B8" s="16" t="n">
        <v>5450815000</v>
      </c>
      <c r="C8" s="16" t="n">
        <v>4439610000</v>
      </c>
      <c r="D8" s="16" t="n">
        <v>591562000</v>
      </c>
      <c r="E8" s="16" t="n">
        <v>410729000</v>
      </c>
      <c r="F8" s="17">
        <f>B8/SUM($B$5:$B$34)*100</f>
        <v/>
      </c>
      <c r="G8" s="17">
        <f>(1-(C8+D8)/B8)*100</f>
        <v/>
      </c>
      <c r="H8" s="17">
        <f>D8/B8*100</f>
        <v/>
      </c>
    </row>
    <row r="9">
      <c r="A9" s="9" t="inlineStr">
        <is>
          <t>HBF</t>
        </is>
      </c>
      <c r="B9" s="10" t="n">
        <v>4316787000</v>
      </c>
      <c r="C9" s="10" t="n">
        <v>3577051000</v>
      </c>
      <c r="D9" s="10" t="n">
        <v>621227000</v>
      </c>
      <c r="E9" s="10" t="n">
        <v>128984000</v>
      </c>
      <c r="F9" s="11">
        <f>B9/SUM($B$5:$B$34)*100</f>
        <v/>
      </c>
      <c r="G9" s="11">
        <f>(1-(C9+D9)/B9)*100</f>
        <v/>
      </c>
      <c r="H9" s="11">
        <f>D9/B9*100</f>
        <v/>
      </c>
    </row>
    <row r="10">
      <c r="A10" s="9" t="inlineStr">
        <is>
          <t>Teachers Health</t>
        </is>
      </c>
      <c r="B10" s="10" t="n">
        <v>1966133000</v>
      </c>
      <c r="C10" s="10" t="n">
        <v>1763020000</v>
      </c>
      <c r="D10" s="10" t="n">
        <v>208586000</v>
      </c>
      <c r="E10" s="10" t="n">
        <v>73516000</v>
      </c>
      <c r="F10" s="11">
        <f>B10/SUM($B$5:$B$34)*100</f>
        <v/>
      </c>
      <c r="G10" s="11">
        <f>(1-(C10+D10)/B10)*100</f>
        <v/>
      </c>
      <c r="H10" s="11">
        <f>D10/B10*100</f>
        <v/>
      </c>
    </row>
    <row r="11">
      <c r="A11" s="9" t="inlineStr">
        <is>
          <t>Australian Unity</t>
        </is>
      </c>
      <c r="B11" s="10" t="n">
        <v>1388374000</v>
      </c>
      <c r="C11" s="10" t="n">
        <v>1135409000</v>
      </c>
      <c r="D11" s="10" t="n">
        <v>175060000</v>
      </c>
      <c r="E11" s="10" t="n">
        <v>83132000</v>
      </c>
      <c r="F11" s="11">
        <f>B11/SUM($B$5:$B$34)*100</f>
        <v/>
      </c>
      <c r="G11" s="11">
        <f>(1-(C11+D11)/B11)*100</f>
        <v/>
      </c>
      <c r="H11" s="11">
        <f>D11/B11*100</f>
        <v/>
      </c>
    </row>
    <row r="12">
      <c r="A12" s="9" t="inlineStr">
        <is>
          <t>Defence Health</t>
        </is>
      </c>
      <c r="B12" s="10" t="n">
        <v>1366379000</v>
      </c>
      <c r="C12" s="10" t="n">
        <v>1161669000</v>
      </c>
      <c r="D12" s="10" t="n">
        <v>181285000</v>
      </c>
      <c r="E12" s="10" t="n">
        <v>125383000</v>
      </c>
      <c r="F12" s="11">
        <f>B12/SUM($B$5:$B$34)*100</f>
        <v/>
      </c>
      <c r="G12" s="11">
        <f>(1-(C12+D12)/B12)*100</f>
        <v/>
      </c>
      <c r="H12" s="11">
        <f>D12/B12*100</f>
        <v/>
      </c>
    </row>
    <row r="13">
      <c r="A13" s="9" t="inlineStr">
        <is>
          <t>GMHBA</t>
        </is>
      </c>
      <c r="B13" s="10" t="n">
        <v>1282515000</v>
      </c>
      <c r="C13" s="10" t="n">
        <v>1043220000</v>
      </c>
      <c r="D13" s="10" t="n">
        <v>233528000</v>
      </c>
      <c r="E13" s="10" t="n">
        <v>74473000</v>
      </c>
      <c r="F13" s="11">
        <f>B13/SUM($B$5:$B$34)*100</f>
        <v/>
      </c>
      <c r="G13" s="11">
        <f>(1-(C13+D13)/B13)*100</f>
        <v/>
      </c>
      <c r="H13" s="11">
        <f>D13/B13*100</f>
        <v/>
      </c>
    </row>
    <row r="14">
      <c r="A14" s="9" t="inlineStr">
        <is>
          <t>CBHS</t>
        </is>
      </c>
      <c r="B14" s="10" t="n">
        <v>1140424000</v>
      </c>
      <c r="C14" s="10" t="n">
        <v>991633000</v>
      </c>
      <c r="D14" s="10" t="n">
        <v>118383000</v>
      </c>
      <c r="E14" s="10" t="n">
        <v>89672000</v>
      </c>
      <c r="F14" s="11">
        <f>B14/SUM($B$5:$B$34)*100</f>
        <v/>
      </c>
      <c r="G14" s="11">
        <f>(1-(C14+D14)/B14)*100</f>
        <v/>
      </c>
      <c r="H14" s="11">
        <f>D14/B14*100</f>
        <v/>
      </c>
    </row>
    <row r="15">
      <c r="A15" s="9" t="inlineStr">
        <is>
          <t>Westfund Limited</t>
        </is>
      </c>
      <c r="B15" s="10" t="n">
        <v>585275000</v>
      </c>
      <c r="C15" s="10" t="n">
        <v>484558000</v>
      </c>
      <c r="D15" s="10" t="n">
        <v>73167000</v>
      </c>
      <c r="E15" s="10" t="n">
        <v>46923000</v>
      </c>
      <c r="F15" s="11">
        <f>B15/SUM($B$5:$B$34)*100</f>
        <v/>
      </c>
      <c r="G15" s="11">
        <f>(1-(C15+D15)/B15)*100</f>
        <v/>
      </c>
      <c r="H15" s="11">
        <f>D15/B15*100</f>
        <v/>
      </c>
    </row>
    <row r="16">
      <c r="A16" s="9" t="inlineStr">
        <is>
          <t>Police Health Limited</t>
        </is>
      </c>
      <c r="B16" s="10" t="n">
        <v>515794000</v>
      </c>
      <c r="C16" s="10" t="n">
        <v>484654000</v>
      </c>
      <c r="D16" s="10" t="n">
        <v>36750000</v>
      </c>
      <c r="E16" s="10" t="n">
        <v>7106000</v>
      </c>
      <c r="F16" s="11">
        <f>B16/SUM($B$5:$B$34)*100</f>
        <v/>
      </c>
      <c r="G16" s="11">
        <f>(1-(C16+D16)/B16)*100</f>
        <v/>
      </c>
      <c r="H16" s="11">
        <f>D16/B16*100</f>
        <v/>
      </c>
    </row>
    <row r="17">
      <c r="A17" s="9" t="inlineStr">
        <is>
          <t>Latrobe Health Services Limited</t>
        </is>
      </c>
      <c r="B17" s="10" t="n">
        <v>456947000</v>
      </c>
      <c r="C17" s="10" t="n">
        <v>371202000</v>
      </c>
      <c r="D17" s="10" t="n">
        <v>74078000</v>
      </c>
      <c r="E17" s="10" t="n">
        <v>31854000</v>
      </c>
      <c r="F17" s="11">
        <f>B17/SUM($B$5:$B$34)*100</f>
        <v/>
      </c>
      <c r="G17" s="11">
        <f>(1-(C17+D17)/B17)*100</f>
        <v/>
      </c>
      <c r="H17" s="11">
        <f>D17/B17*100</f>
        <v/>
      </c>
    </row>
    <row r="18">
      <c r="A18" s="9" t="inlineStr">
        <is>
          <t>St Luke's Medical and Hospital Benefits Association</t>
        </is>
      </c>
      <c r="B18" s="10" t="n">
        <v>443318000</v>
      </c>
      <c r="C18" s="10" t="n">
        <v>371465000</v>
      </c>
      <c r="D18" s="10" t="n">
        <v>59787000</v>
      </c>
      <c r="E18" s="10" t="n">
        <v>20873000</v>
      </c>
      <c r="F18" s="11">
        <f>B18/SUM($B$5:$B$34)*100</f>
        <v/>
      </c>
      <c r="G18" s="11">
        <f>(1-(C18+D18)/B18)*100</f>
        <v/>
      </c>
      <c r="H18" s="11">
        <f>D18/B18*100</f>
        <v/>
      </c>
    </row>
    <row r="19">
      <c r="A19" s="9" t="inlineStr">
        <is>
          <t>Queensland Teachers' Union Health Fund Limited</t>
        </is>
      </c>
      <c r="B19" s="10" t="n">
        <v>433579000</v>
      </c>
      <c r="C19" s="10" t="n">
        <v>363583000</v>
      </c>
      <c r="D19" s="10" t="n">
        <v>78356000</v>
      </c>
      <c r="E19" s="10" t="n">
        <v>-149000</v>
      </c>
      <c r="F19" s="11">
        <f>B19/SUM($B$5:$B$34)*100</f>
        <v/>
      </c>
      <c r="G19" s="11">
        <f>(1-(C19+D19)/B19)*100</f>
        <v/>
      </c>
      <c r="H19" s="11">
        <f>D19/B19*100</f>
        <v/>
      </c>
    </row>
    <row r="20">
      <c r="A20" s="9" t="inlineStr">
        <is>
          <t>Health Partners</t>
        </is>
      </c>
      <c r="B20" s="10" t="n">
        <v>429095000</v>
      </c>
      <c r="C20" s="10" t="n">
        <v>368177000</v>
      </c>
      <c r="D20" s="10" t="n">
        <v>48773000</v>
      </c>
      <c r="E20" s="10" t="n">
        <v>41162000</v>
      </c>
      <c r="F20" s="11">
        <f>B20/SUM($B$5:$B$34)*100</f>
        <v/>
      </c>
      <c r="G20" s="11">
        <f>(1-(C20+D20)/B20)*100</f>
        <v/>
      </c>
      <c r="H20" s="11">
        <f>D20/B20*100</f>
        <v/>
      </c>
    </row>
    <row r="21">
      <c r="A21" s="9" t="inlineStr">
        <is>
          <t>The Doctors' Health Fund Pty Ltd</t>
        </is>
      </c>
      <c r="B21" s="10" t="n">
        <v>408720000</v>
      </c>
      <c r="C21" s="10" t="n">
        <v>338794000</v>
      </c>
      <c r="D21" s="10" t="n">
        <v>57471000</v>
      </c>
      <c r="E21" s="10" t="n">
        <v>19845000</v>
      </c>
      <c r="F21" s="11">
        <f>B21/SUM($B$5:$B$34)*100</f>
        <v/>
      </c>
      <c r="G21" s="11">
        <f>(1-(C21+D21)/B21)*100</f>
        <v/>
      </c>
      <c r="H21" s="11">
        <f>D21/B21*100</f>
        <v/>
      </c>
    </row>
    <row r="22">
      <c r="A22" s="9" t="inlineStr">
        <is>
          <t>Health Insurance Fund of Australia Limited</t>
        </is>
      </c>
      <c r="B22" s="10" t="n">
        <v>365672000</v>
      </c>
      <c r="C22" s="10" t="n">
        <v>297143000</v>
      </c>
      <c r="D22" s="10" t="n">
        <v>59912000</v>
      </c>
      <c r="E22" s="10" t="n">
        <v>29100000</v>
      </c>
      <c r="F22" s="11">
        <f>B22/SUM($B$5:$B$34)*100</f>
        <v/>
      </c>
      <c r="G22" s="11">
        <f>(1-(C22+D22)/B22)*100</f>
        <v/>
      </c>
      <c r="H22" s="11">
        <f>D22/B22*100</f>
        <v/>
      </c>
    </row>
    <row r="23">
      <c r="A23" s="9" t="inlineStr">
        <is>
          <t>Peoplecare Health Limited</t>
        </is>
      </c>
      <c r="B23" s="10" t="n">
        <v>322038000</v>
      </c>
      <c r="C23" s="10" t="n">
        <v>263315000</v>
      </c>
      <c r="D23" s="10" t="n">
        <v>45203000</v>
      </c>
      <c r="E23" s="10" t="n">
        <v>28702000</v>
      </c>
      <c r="F23" s="11">
        <f>B23/SUM($B$5:$B$34)*100</f>
        <v/>
      </c>
      <c r="G23" s="11">
        <f>(1-(C23+D23)/B23)*100</f>
        <v/>
      </c>
      <c r="H23" s="11">
        <f>D23/B23*100</f>
        <v/>
      </c>
    </row>
    <row r="24">
      <c r="A24" s="9" t="inlineStr">
        <is>
          <t>Navy Health Ltd</t>
        </is>
      </c>
      <c r="B24" s="10" t="n">
        <v>255143000</v>
      </c>
      <c r="C24" s="10" t="n">
        <v>213768000</v>
      </c>
      <c r="D24" s="10" t="n">
        <v>26961000</v>
      </c>
      <c r="E24" s="10" t="n">
        <v>40297000</v>
      </c>
      <c r="F24" s="11">
        <f>B24/SUM($B$5:$B$34)*100</f>
        <v/>
      </c>
      <c r="G24" s="11">
        <f>(1-(C24+D24)/B24)*100</f>
        <v/>
      </c>
      <c r="H24" s="11">
        <f>D24/B24*100</f>
        <v/>
      </c>
    </row>
    <row r="25">
      <c r="A25" s="9" t="inlineStr">
        <is>
          <t>AIA Health Insurance Pty Ltd</t>
        </is>
      </c>
      <c r="B25" s="10" t="n">
        <v>248612000</v>
      </c>
      <c r="C25" s="10" t="n">
        <v>221991000</v>
      </c>
      <c r="D25" s="10" t="n">
        <v>27460000</v>
      </c>
      <c r="E25" s="10" t="n">
        <v>5535000</v>
      </c>
      <c r="F25" s="11">
        <f>B25/SUM($B$5:$B$34)*100</f>
        <v/>
      </c>
      <c r="G25" s="11">
        <f>(1-(C25+D25)/B25)*100</f>
        <v/>
      </c>
      <c r="H25" s="11">
        <f>D25/B25*100</f>
        <v/>
      </c>
    </row>
    <row r="26">
      <c r="A26" s="9" t="inlineStr">
        <is>
          <t>Queensland Country Health Fund Ltd</t>
        </is>
      </c>
      <c r="B26" s="10" t="n">
        <v>169821000</v>
      </c>
      <c r="C26" s="10" t="n">
        <v>135292000</v>
      </c>
      <c r="D26" s="10" t="n">
        <v>14127000</v>
      </c>
      <c r="E26" s="10" t="n">
        <v>25644000</v>
      </c>
      <c r="F26" s="11">
        <f>B26/SUM($B$5:$B$34)*100</f>
        <v/>
      </c>
      <c r="G26" s="11">
        <f>(1-(C26+D26)/B26)*100</f>
        <v/>
      </c>
      <c r="H26" s="11">
        <f>D26/B26*100</f>
        <v/>
      </c>
    </row>
    <row r="27">
      <c r="A27" s="9" t="inlineStr">
        <is>
          <t>Mildura District Hospital Fund Ltd</t>
        </is>
      </c>
      <c r="B27" s="10" t="n">
        <v>163859000</v>
      </c>
      <c r="C27" s="10" t="n">
        <v>133291000</v>
      </c>
      <c r="D27" s="10" t="n">
        <v>16812000</v>
      </c>
      <c r="E27" s="10" t="n">
        <v>16256000</v>
      </c>
      <c r="F27" s="11">
        <f>B27/SUM($B$5:$B$34)*100</f>
        <v/>
      </c>
      <c r="G27" s="11">
        <f>(1-(C27+D27)/B27)*100</f>
        <v/>
      </c>
      <c r="H27" s="11">
        <f>D27/B27*100</f>
        <v/>
      </c>
    </row>
    <row r="28">
      <c r="A28" s="9" t="inlineStr">
        <is>
          <t>Phoenix Health Fund Limited</t>
        </is>
      </c>
      <c r="B28" s="10" t="n">
        <v>139702000</v>
      </c>
      <c r="C28" s="10" t="n">
        <v>116120000</v>
      </c>
      <c r="D28" s="10" t="n">
        <v>14754000</v>
      </c>
      <c r="E28" s="10" t="n">
        <v>14034000</v>
      </c>
      <c r="F28" s="11">
        <f>B28/SUM($B$5:$B$34)*100</f>
        <v/>
      </c>
      <c r="G28" s="11">
        <f>(1-(C28+D28)/B28)*100</f>
        <v/>
      </c>
      <c r="H28" s="11">
        <f>D28/B28*100</f>
        <v/>
      </c>
    </row>
    <row r="29">
      <c r="A29" s="9" t="inlineStr">
        <is>
          <t>National Health Benefits Australia Pty Ltd</t>
        </is>
      </c>
      <c r="B29" s="10" t="n">
        <v>89867000</v>
      </c>
      <c r="C29" s="10" t="n">
        <v>67542000</v>
      </c>
      <c r="D29" s="10" t="n">
        <v>9600000</v>
      </c>
      <c r="E29" s="10" t="n">
        <v>10816000</v>
      </c>
      <c r="F29" s="11">
        <f>B29/SUM($B$5:$B$34)*100</f>
        <v/>
      </c>
      <c r="G29" s="11">
        <f>(1-(C29+D29)/B29)*100</f>
        <v/>
      </c>
      <c r="H29" s="11">
        <f>D29/B29*100</f>
        <v/>
      </c>
    </row>
    <row r="30">
      <c r="A30" s="9" t="inlineStr">
        <is>
          <t>Health Care Insurance Ltd</t>
        </is>
      </c>
      <c r="B30" s="10" t="n">
        <v>63629000</v>
      </c>
      <c r="C30" s="10" t="n">
        <v>52503000</v>
      </c>
      <c r="D30" s="10" t="n">
        <v>8809000</v>
      </c>
      <c r="E30" s="10" t="n">
        <v>5508000</v>
      </c>
      <c r="F30" s="11">
        <f>B30/SUM($B$5:$B$34)*100</f>
        <v/>
      </c>
      <c r="G30" s="11">
        <f>(1-(C30+D30)/B30)*100</f>
        <v/>
      </c>
      <c r="H30" s="11">
        <f>D30/B30*100</f>
        <v/>
      </c>
    </row>
    <row r="31">
      <c r="A31" s="9" t="inlineStr">
        <is>
          <t>ACA Health Benefits Fund Limited</t>
        </is>
      </c>
      <c r="B31" s="10" t="n">
        <v>60814000</v>
      </c>
      <c r="C31" s="10" t="n">
        <v>49551000</v>
      </c>
      <c r="D31" s="10" t="n">
        <v>8775000</v>
      </c>
      <c r="E31" s="10" t="n">
        <v>7729000</v>
      </c>
      <c r="F31" s="11">
        <f>B31/SUM($B$5:$B$34)*100</f>
        <v/>
      </c>
      <c r="G31" s="11">
        <f>(1-(C31+D31)/B31)*100</f>
        <v/>
      </c>
      <c r="H31" s="11">
        <f>D31/B31*100</f>
        <v/>
      </c>
    </row>
    <row r="32">
      <c r="A32" s="9" t="inlineStr">
        <is>
          <t>Reserve Bank Health Society Ltd</t>
        </is>
      </c>
      <c r="B32" s="10" t="n">
        <v>38840000</v>
      </c>
      <c r="C32" s="10" t="n">
        <v>30496000</v>
      </c>
      <c r="D32" s="10" t="n">
        <v>7838000</v>
      </c>
      <c r="E32" s="10" t="n">
        <v>1833000</v>
      </c>
      <c r="F32" s="11">
        <f>B32/SUM($B$5:$B$34)*100</f>
        <v/>
      </c>
      <c r="G32" s="11">
        <f>(1-(C32+D32)/B32)*100</f>
        <v/>
      </c>
      <c r="H32" s="11">
        <f>D32/B32*100</f>
        <v/>
      </c>
    </row>
    <row r="33">
      <c r="A33" s="9" t="inlineStr">
        <is>
          <t>Cessnock District Health Benefits Fund Limited</t>
        </is>
      </c>
      <c r="B33" s="10" t="n">
        <v>28060000</v>
      </c>
      <c r="C33" s="10" t="n">
        <v>21561000</v>
      </c>
      <c r="D33" s="10" t="n">
        <v>6179000</v>
      </c>
      <c r="E33" s="10" t="n">
        <v>1584000</v>
      </c>
      <c r="F33" s="11">
        <f>B33/SUM($B$5:$B$34)*100</f>
        <v/>
      </c>
      <c r="G33" s="11">
        <f>(1-(C33+D33)/B33)*100</f>
        <v/>
      </c>
      <c r="H33" s="11">
        <f>D33/B33*100</f>
        <v/>
      </c>
    </row>
    <row r="34">
      <c r="A34" s="9" t="inlineStr">
        <is>
          <t>CBHS Corporate Health Pty Ltd</t>
        </is>
      </c>
      <c r="B34" s="10" t="n">
        <v>9044000</v>
      </c>
      <c r="C34" s="10" t="n">
        <v>7335000</v>
      </c>
      <c r="D34" s="10" t="n">
        <v>4700000</v>
      </c>
      <c r="E34" s="10" t="n">
        <v>7591000</v>
      </c>
      <c r="F34" s="11">
        <f>B34/SUM($B$5:$B$34)*100</f>
        <v/>
      </c>
      <c r="G34" s="11">
        <f>(1-(C34+D34)/B34)*100</f>
        <v/>
      </c>
      <c r="H34" s="11">
        <f>D34/B34*100</f>
        <v/>
      </c>
    </row>
    <row r="36">
      <c r="A36" s="12" t="inlineStr">
        <is>
          <t>產業總保費 $</t>
        </is>
      </c>
      <c r="B36" s="18">
        <f>SUM(B5:B34)</f>
        <v/>
      </c>
      <c r="D36" s="12" t="inlineStr">
        <is>
          <t>保險商家數</t>
        </is>
      </c>
      <c r="E36" s="19">
        <f>COUNTA(A5:A34)</f>
        <v/>
      </c>
    </row>
    <row r="37">
      <c r="A37" s="2" t="inlineStr">
        <is>
          <t>淨利率 = 1 −(理賠+其他費用)÷保費  |  市佔 = 該商保費 ÷ 全產業保費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1" customWidth="1" min="4" max="4"/>
    <col width="11" customWidth="1" min="5" max="5"/>
  </cols>
  <sheetData>
    <row r="1">
      <c r="A1" s="7" t="inlineStr">
        <is>
          <t>NHF(nib) vs ASX200 股價,指數化</t>
        </is>
      </c>
    </row>
    <row r="2">
      <c r="A2" s="2" t="inlineStr">
        <is>
          <t>來源:Yahoo Finance 月收盤價。指數欄 = 當期 ÷ 首期 ×100(公式)。</t>
        </is>
      </c>
    </row>
    <row r="4">
      <c r="A4" s="8" t="inlineStr">
        <is>
          <t>月份</t>
        </is>
      </c>
      <c r="B4" s="8" t="inlineStr">
        <is>
          <t>NHF 收盤</t>
        </is>
      </c>
      <c r="C4" s="8" t="inlineStr">
        <is>
          <t>ASX200 收盤</t>
        </is>
      </c>
      <c r="D4" s="8" t="inlineStr">
        <is>
          <t>NHF 指數</t>
        </is>
      </c>
      <c r="E4" s="8" t="inlineStr">
        <is>
          <t>ASX 指數</t>
        </is>
      </c>
    </row>
    <row r="5">
      <c r="A5" s="9" t="inlineStr">
        <is>
          <t>2011-06</t>
        </is>
      </c>
      <c r="B5" s="20" t="n">
        <v>1.35</v>
      </c>
      <c r="C5" s="10" t="n">
        <v>4424.6</v>
      </c>
      <c r="D5" s="21">
        <f>B5/$B$5*100</f>
        <v/>
      </c>
      <c r="E5" s="21">
        <f>C5/$C$5*100</f>
        <v/>
      </c>
    </row>
    <row r="6">
      <c r="A6" s="9" t="inlineStr">
        <is>
          <t>2011-07</t>
        </is>
      </c>
      <c r="B6" s="20" t="n">
        <v>1.38</v>
      </c>
      <c r="C6" s="10" t="n">
        <v>4296.5</v>
      </c>
      <c r="D6" s="21">
        <f>B6/$B$5*100</f>
        <v/>
      </c>
      <c r="E6" s="21">
        <f>C6/$C$5*100</f>
        <v/>
      </c>
    </row>
    <row r="7">
      <c r="A7" s="9" t="inlineStr">
        <is>
          <t>2011-08</t>
        </is>
      </c>
      <c r="B7" s="20" t="n">
        <v>1.365</v>
      </c>
      <c r="C7" s="10" t="n">
        <v>4008.6</v>
      </c>
      <c r="D7" s="21">
        <f>B7/$B$5*100</f>
        <v/>
      </c>
      <c r="E7" s="21">
        <f>C7/$C$5*100</f>
        <v/>
      </c>
    </row>
    <row r="8">
      <c r="A8" s="9" t="inlineStr">
        <is>
          <t>2011-09</t>
        </is>
      </c>
      <c r="B8" s="20" t="n">
        <v>1.5</v>
      </c>
      <c r="C8" s="10" t="n">
        <v>4298.1</v>
      </c>
      <c r="D8" s="21">
        <f>B8/$B$5*100</f>
        <v/>
      </c>
      <c r="E8" s="21">
        <f>C8/$C$5*100</f>
        <v/>
      </c>
    </row>
    <row r="9">
      <c r="A9" s="9" t="inlineStr">
        <is>
          <t>2011-10</t>
        </is>
      </c>
      <c r="B9" s="20" t="n">
        <v>1.525</v>
      </c>
      <c r="C9" s="10" t="n">
        <v>4119.8</v>
      </c>
      <c r="D9" s="21">
        <f>B9/$B$5*100</f>
        <v/>
      </c>
      <c r="E9" s="21">
        <f>C9/$C$5*100</f>
        <v/>
      </c>
    </row>
    <row r="10">
      <c r="A10" s="9" t="inlineStr">
        <is>
          <t>2011-11</t>
        </is>
      </c>
      <c r="B10" s="20" t="n">
        <v>1.5</v>
      </c>
      <c r="C10" s="10" t="n">
        <v>4056.6</v>
      </c>
      <c r="D10" s="21">
        <f>B10/$B$5*100</f>
        <v/>
      </c>
      <c r="E10" s="21">
        <f>C10/$C$5*100</f>
        <v/>
      </c>
    </row>
    <row r="11">
      <c r="A11" s="9" t="inlineStr">
        <is>
          <t>2011-12</t>
        </is>
      </c>
      <c r="B11" s="20" t="n">
        <v>1.46</v>
      </c>
      <c r="C11" s="10" t="n">
        <v>4262.7</v>
      </c>
      <c r="D11" s="21">
        <f>B11/$B$5*100</f>
        <v/>
      </c>
      <c r="E11" s="21">
        <f>C11/$C$5*100</f>
        <v/>
      </c>
    </row>
    <row r="12">
      <c r="A12" s="9" t="inlineStr">
        <is>
          <t>2012-01</t>
        </is>
      </c>
      <c r="B12" s="20" t="n">
        <v>1.47</v>
      </c>
      <c r="C12" s="10" t="n">
        <v>4298.5</v>
      </c>
      <c r="D12" s="21">
        <f>B12/$B$5*100</f>
        <v/>
      </c>
      <c r="E12" s="21">
        <f>C12/$C$5*100</f>
        <v/>
      </c>
    </row>
    <row r="13">
      <c r="A13" s="9" t="inlineStr">
        <is>
          <t>2012-02</t>
        </is>
      </c>
      <c r="B13" s="20" t="n">
        <v>1.485</v>
      </c>
      <c r="C13" s="10" t="n">
        <v>4335.2</v>
      </c>
      <c r="D13" s="21">
        <f>B13/$B$5*100</f>
        <v/>
      </c>
      <c r="E13" s="21">
        <f>C13/$C$5*100</f>
        <v/>
      </c>
    </row>
    <row r="14">
      <c r="A14" s="9" t="inlineStr">
        <is>
          <t>2012-03</t>
        </is>
      </c>
      <c r="B14" s="20" t="n">
        <v>1.64</v>
      </c>
      <c r="C14" s="10" t="n">
        <v>4396.6</v>
      </c>
      <c r="D14" s="21">
        <f>B14/$B$5*100</f>
        <v/>
      </c>
      <c r="E14" s="21">
        <f>C14/$C$5*100</f>
        <v/>
      </c>
    </row>
    <row r="15">
      <c r="A15" s="9" t="inlineStr">
        <is>
          <t>2012-04</t>
        </is>
      </c>
      <c r="B15" s="20" t="n">
        <v>1.565</v>
      </c>
      <c r="C15" s="10" t="n">
        <v>4076.3</v>
      </c>
      <c r="D15" s="21">
        <f>B15/$B$5*100</f>
        <v/>
      </c>
      <c r="E15" s="21">
        <f>C15/$C$5*100</f>
        <v/>
      </c>
    </row>
    <row r="16">
      <c r="A16" s="9" t="inlineStr">
        <is>
          <t>2012-05</t>
        </is>
      </c>
      <c r="B16" s="20" t="n">
        <v>1.495</v>
      </c>
      <c r="C16" s="10" t="n">
        <v>4094.6</v>
      </c>
      <c r="D16" s="21">
        <f>B16/$B$5*100</f>
        <v/>
      </c>
      <c r="E16" s="21">
        <f>C16/$C$5*100</f>
        <v/>
      </c>
    </row>
    <row r="17">
      <c r="A17" s="9" t="inlineStr">
        <is>
          <t>2012-06</t>
        </is>
      </c>
      <c r="B17" s="20" t="n">
        <v>1.57</v>
      </c>
      <c r="C17" s="10" t="n">
        <v>4269.2</v>
      </c>
      <c r="D17" s="21">
        <f>B17/$B$5*100</f>
        <v/>
      </c>
      <c r="E17" s="21">
        <f>C17/$C$5*100</f>
        <v/>
      </c>
    </row>
    <row r="18">
      <c r="A18" s="9" t="inlineStr">
        <is>
          <t>2012-07</t>
        </is>
      </c>
      <c r="B18" s="20" t="n">
        <v>1.645</v>
      </c>
      <c r="C18" s="10" t="n">
        <v>4316.1</v>
      </c>
      <c r="D18" s="21">
        <f>B18/$B$5*100</f>
        <v/>
      </c>
      <c r="E18" s="21">
        <f>C18/$C$5*100</f>
        <v/>
      </c>
    </row>
    <row r="19">
      <c r="A19" s="9" t="inlineStr">
        <is>
          <t>2012-08</t>
        </is>
      </c>
      <c r="B19" s="20" t="n">
        <v>1.7</v>
      </c>
      <c r="C19" s="10" t="n">
        <v>4387</v>
      </c>
      <c r="D19" s="21">
        <f>B19/$B$5*100</f>
        <v/>
      </c>
      <c r="E19" s="21">
        <f>C19/$C$5*100</f>
        <v/>
      </c>
    </row>
    <row r="20">
      <c r="A20" s="9" t="inlineStr">
        <is>
          <t>2012-09</t>
        </is>
      </c>
      <c r="B20" s="20" t="n">
        <v>1.81</v>
      </c>
      <c r="C20" s="10" t="n">
        <v>4517</v>
      </c>
      <c r="D20" s="21">
        <f>B20/$B$5*100</f>
        <v/>
      </c>
      <c r="E20" s="21">
        <f>C20/$C$5*100</f>
        <v/>
      </c>
    </row>
    <row r="21">
      <c r="A21" s="9" t="inlineStr">
        <is>
          <t>2012-10</t>
        </is>
      </c>
      <c r="B21" s="20" t="n">
        <v>2.02</v>
      </c>
      <c r="C21" s="10" t="n">
        <v>4506</v>
      </c>
      <c r="D21" s="21">
        <f>B21/$B$5*100</f>
        <v/>
      </c>
      <c r="E21" s="21">
        <f>C21/$C$5*100</f>
        <v/>
      </c>
    </row>
    <row r="22">
      <c r="A22" s="9" t="inlineStr">
        <is>
          <t>2012-11</t>
        </is>
      </c>
      <c r="B22" s="20" t="n">
        <v>2.01</v>
      </c>
      <c r="C22" s="10" t="n">
        <v>4649</v>
      </c>
      <c r="D22" s="21">
        <f>B22/$B$5*100</f>
        <v/>
      </c>
      <c r="E22" s="21">
        <f>C22/$C$5*100</f>
        <v/>
      </c>
    </row>
    <row r="23">
      <c r="A23" s="9" t="inlineStr">
        <is>
          <t>2012-12</t>
        </is>
      </c>
      <c r="B23" s="20" t="n">
        <v>2.19</v>
      </c>
      <c r="C23" s="10" t="n">
        <v>4878.8</v>
      </c>
      <c r="D23" s="21">
        <f>B23/$B$5*100</f>
        <v/>
      </c>
      <c r="E23" s="21">
        <f>C23/$C$5*100</f>
        <v/>
      </c>
    </row>
    <row r="24">
      <c r="A24" s="9" t="inlineStr">
        <is>
          <t>2013-01</t>
        </is>
      </c>
      <c r="B24" s="20" t="n">
        <v>2.21</v>
      </c>
      <c r="C24" s="10" t="n">
        <v>5104.1</v>
      </c>
      <c r="D24" s="21">
        <f>B24/$B$5*100</f>
        <v/>
      </c>
      <c r="E24" s="21">
        <f>C24/$C$5*100</f>
        <v/>
      </c>
    </row>
    <row r="25">
      <c r="A25" s="9" t="inlineStr">
        <is>
          <t>2013-02</t>
        </is>
      </c>
      <c r="B25" s="20" t="n">
        <v>2.27</v>
      </c>
      <c r="C25" s="10" t="n">
        <v>4966.5</v>
      </c>
      <c r="D25" s="21">
        <f>B25/$B$5*100</f>
        <v/>
      </c>
      <c r="E25" s="21">
        <f>C25/$C$5*100</f>
        <v/>
      </c>
    </row>
    <row r="26">
      <c r="A26" s="9" t="inlineStr">
        <is>
          <t>2013-03</t>
        </is>
      </c>
      <c r="B26" s="20" t="n">
        <v>2.35</v>
      </c>
      <c r="C26" s="10" t="n">
        <v>5191.2</v>
      </c>
      <c r="D26" s="21">
        <f>B26/$B$5*100</f>
        <v/>
      </c>
      <c r="E26" s="21">
        <f>C26/$C$5*100</f>
        <v/>
      </c>
    </row>
    <row r="27">
      <c r="A27" s="9" t="inlineStr">
        <is>
          <t>2013-04</t>
        </is>
      </c>
      <c r="B27" s="20" t="n">
        <v>2.26</v>
      </c>
      <c r="C27" s="10" t="n">
        <v>4926.6</v>
      </c>
      <c r="D27" s="21">
        <f>B27/$B$5*100</f>
        <v/>
      </c>
      <c r="E27" s="21">
        <f>C27/$C$5*100</f>
        <v/>
      </c>
    </row>
    <row r="28">
      <c r="A28" s="9" t="inlineStr">
        <is>
          <t>2013-05</t>
        </is>
      </c>
      <c r="B28" s="20" t="n">
        <v>2.13</v>
      </c>
      <c r="C28" s="10" t="n">
        <v>4802.6</v>
      </c>
      <c r="D28" s="21">
        <f>B28/$B$5*100</f>
        <v/>
      </c>
      <c r="E28" s="21">
        <f>C28/$C$5*100</f>
        <v/>
      </c>
    </row>
    <row r="29">
      <c r="A29" s="9" t="inlineStr">
        <is>
          <t>2013-06</t>
        </is>
      </c>
      <c r="B29" s="20" t="n">
        <v>2.23</v>
      </c>
      <c r="C29" s="10" t="n">
        <v>5052</v>
      </c>
      <c r="D29" s="21">
        <f>B29/$B$5*100</f>
        <v/>
      </c>
      <c r="E29" s="21">
        <f>C29/$C$5*100</f>
        <v/>
      </c>
    </row>
    <row r="30">
      <c r="A30" s="9" t="inlineStr">
        <is>
          <t>2013-07</t>
        </is>
      </c>
      <c r="B30" s="20" t="n">
        <v>2.13</v>
      </c>
      <c r="C30" s="10" t="n">
        <v>5135</v>
      </c>
      <c r="D30" s="21">
        <f>B30/$B$5*100</f>
        <v/>
      </c>
      <c r="E30" s="21">
        <f>C30/$C$5*100</f>
        <v/>
      </c>
    </row>
    <row r="31">
      <c r="A31" s="9" t="inlineStr">
        <is>
          <t>2013-08</t>
        </is>
      </c>
      <c r="B31" s="20" t="n">
        <v>2.17</v>
      </c>
      <c r="C31" s="10" t="n">
        <v>5218.9</v>
      </c>
      <c r="D31" s="21">
        <f>B31/$B$5*100</f>
        <v/>
      </c>
      <c r="E31" s="21">
        <f>C31/$C$5*100</f>
        <v/>
      </c>
    </row>
    <row r="32">
      <c r="A32" s="9" t="inlineStr">
        <is>
          <t>2013-09</t>
        </is>
      </c>
      <c r="B32" s="20" t="n">
        <v>2.4</v>
      </c>
      <c r="C32" s="10" t="n">
        <v>5425.5</v>
      </c>
      <c r="D32" s="21">
        <f>B32/$B$5*100</f>
        <v/>
      </c>
      <c r="E32" s="21">
        <f>C32/$C$5*100</f>
        <v/>
      </c>
    </row>
    <row r="33">
      <c r="A33" s="9" t="inlineStr">
        <is>
          <t>2013-10</t>
        </is>
      </c>
      <c r="B33" s="20" t="n">
        <v>2.45</v>
      </c>
      <c r="C33" s="10" t="n">
        <v>5320.1</v>
      </c>
      <c r="D33" s="21">
        <f>B33/$B$5*100</f>
        <v/>
      </c>
      <c r="E33" s="21">
        <f>C33/$C$5*100</f>
        <v/>
      </c>
    </row>
    <row r="34">
      <c r="A34" s="9" t="inlineStr">
        <is>
          <t>2013-11</t>
        </is>
      </c>
      <c r="B34" s="20" t="n">
        <v>2.73</v>
      </c>
      <c r="C34" s="10" t="n">
        <v>5352.2</v>
      </c>
      <c r="D34" s="21">
        <f>B34/$B$5*100</f>
        <v/>
      </c>
      <c r="E34" s="21">
        <f>C34/$C$5*100</f>
        <v/>
      </c>
    </row>
    <row r="35">
      <c r="A35" s="9" t="inlineStr">
        <is>
          <t>2013-12</t>
        </is>
      </c>
      <c r="B35" s="20" t="n">
        <v>2.53</v>
      </c>
      <c r="C35" s="10" t="n">
        <v>5190</v>
      </c>
      <c r="D35" s="21">
        <f>B35/$B$5*100</f>
        <v/>
      </c>
      <c r="E35" s="21">
        <f>C35/$C$5*100</f>
        <v/>
      </c>
    </row>
    <row r="36">
      <c r="A36" s="9" t="inlineStr">
        <is>
          <t>2014-01</t>
        </is>
      </c>
      <c r="B36" s="20" t="n">
        <v>2.6</v>
      </c>
      <c r="C36" s="10" t="n">
        <v>5404.8</v>
      </c>
      <c r="D36" s="21">
        <f>B36/$B$5*100</f>
        <v/>
      </c>
      <c r="E36" s="21">
        <f>C36/$C$5*100</f>
        <v/>
      </c>
    </row>
    <row r="37">
      <c r="A37" s="9" t="inlineStr">
        <is>
          <t>2014-02</t>
        </is>
      </c>
      <c r="B37" s="20" t="n">
        <v>2.8</v>
      </c>
      <c r="C37" s="10" t="n">
        <v>5394.8</v>
      </c>
      <c r="D37" s="21">
        <f>B37/$B$5*100</f>
        <v/>
      </c>
      <c r="E37" s="21">
        <f>C37/$C$5*100</f>
        <v/>
      </c>
    </row>
    <row r="38">
      <c r="A38" s="9" t="inlineStr">
        <is>
          <t>2014-03</t>
        </is>
      </c>
      <c r="B38" s="20" t="n">
        <v>2.75</v>
      </c>
      <c r="C38" s="10" t="n">
        <v>5489.1</v>
      </c>
      <c r="D38" s="21">
        <f>B38/$B$5*100</f>
        <v/>
      </c>
      <c r="E38" s="21">
        <f>C38/$C$5*100</f>
        <v/>
      </c>
    </row>
    <row r="39">
      <c r="A39" s="9" t="inlineStr">
        <is>
          <t>2014-04</t>
        </is>
      </c>
      <c r="B39" s="20" t="n">
        <v>3.14</v>
      </c>
      <c r="C39" s="10" t="n">
        <v>5492.5</v>
      </c>
      <c r="D39" s="21">
        <f>B39/$B$5*100</f>
        <v/>
      </c>
      <c r="E39" s="21">
        <f>C39/$C$5*100</f>
        <v/>
      </c>
    </row>
    <row r="40">
      <c r="A40" s="9" t="inlineStr">
        <is>
          <t>2014-05</t>
        </is>
      </c>
      <c r="B40" s="20" t="n">
        <v>3.26</v>
      </c>
      <c r="C40" s="10" t="n">
        <v>5395.7</v>
      </c>
      <c r="D40" s="21">
        <f>B40/$B$5*100</f>
        <v/>
      </c>
      <c r="E40" s="21">
        <f>C40/$C$5*100</f>
        <v/>
      </c>
    </row>
    <row r="41">
      <c r="A41" s="9" t="inlineStr">
        <is>
          <t>2014-06</t>
        </is>
      </c>
      <c r="B41" s="20" t="n">
        <v>3.25</v>
      </c>
      <c r="C41" s="10" t="n">
        <v>5632.9</v>
      </c>
      <c r="D41" s="21">
        <f>B41/$B$5*100</f>
        <v/>
      </c>
      <c r="E41" s="21">
        <f>C41/$C$5*100</f>
        <v/>
      </c>
    </row>
    <row r="42">
      <c r="A42" s="9" t="inlineStr">
        <is>
          <t>2014-07</t>
        </is>
      </c>
      <c r="B42" s="20" t="n">
        <v>3.39</v>
      </c>
      <c r="C42" s="10" t="n">
        <v>5625.9</v>
      </c>
      <c r="D42" s="21">
        <f>B42/$B$5*100</f>
        <v/>
      </c>
      <c r="E42" s="21">
        <f>C42/$C$5*100</f>
        <v/>
      </c>
    </row>
    <row r="43">
      <c r="A43" s="9" t="inlineStr">
        <is>
          <t>2014-08</t>
        </is>
      </c>
      <c r="B43" s="20" t="n">
        <v>2.91</v>
      </c>
      <c r="C43" s="10" t="n">
        <v>5292.8</v>
      </c>
      <c r="D43" s="21">
        <f>B43/$B$5*100</f>
        <v/>
      </c>
      <c r="E43" s="21">
        <f>C43/$C$5*100</f>
        <v/>
      </c>
    </row>
    <row r="44">
      <c r="A44" s="9" t="inlineStr">
        <is>
          <t>2014-09</t>
        </is>
      </c>
      <c r="B44" s="20" t="n">
        <v>3.27</v>
      </c>
      <c r="C44" s="10" t="n">
        <v>5526.6</v>
      </c>
      <c r="D44" s="21">
        <f>B44/$B$5*100</f>
        <v/>
      </c>
      <c r="E44" s="21">
        <f>C44/$C$5*100</f>
        <v/>
      </c>
    </row>
    <row r="45">
      <c r="A45" s="9" t="inlineStr">
        <is>
          <t>2014-10</t>
        </is>
      </c>
      <c r="B45" s="20" t="n">
        <v>3.19</v>
      </c>
      <c r="C45" s="10" t="n">
        <v>5313</v>
      </c>
      <c r="D45" s="21">
        <f>B45/$B$5*100</f>
        <v/>
      </c>
      <c r="E45" s="21">
        <f>C45/$C$5*100</f>
        <v/>
      </c>
    </row>
    <row r="46">
      <c r="A46" s="9" t="inlineStr">
        <is>
          <t>2014-11</t>
        </is>
      </c>
      <c r="B46" s="20" t="n">
        <v>3.14</v>
      </c>
      <c r="C46" s="10" t="n">
        <v>5411</v>
      </c>
      <c r="D46" s="21">
        <f>B46/$B$5*100</f>
        <v/>
      </c>
      <c r="E46" s="21">
        <f>C46/$C$5*100</f>
        <v/>
      </c>
    </row>
    <row r="47">
      <c r="A47" s="9" t="inlineStr">
        <is>
          <t>2014-12</t>
        </is>
      </c>
      <c r="B47" s="20" t="n">
        <v>3.31</v>
      </c>
      <c r="C47" s="10" t="n">
        <v>5588.3</v>
      </c>
      <c r="D47" s="21">
        <f>B47/$B$5*100</f>
        <v/>
      </c>
      <c r="E47" s="21">
        <f>C47/$C$5*100</f>
        <v/>
      </c>
    </row>
    <row r="48">
      <c r="A48" s="9" t="inlineStr">
        <is>
          <t>2015-01</t>
        </is>
      </c>
      <c r="B48" s="20" t="n">
        <v>3.73</v>
      </c>
      <c r="C48" s="10" t="n">
        <v>5928.8</v>
      </c>
      <c r="D48" s="21">
        <f>B48/$B$5*100</f>
        <v/>
      </c>
      <c r="E48" s="21">
        <f>C48/$C$5*100</f>
        <v/>
      </c>
    </row>
    <row r="49">
      <c r="A49" s="9" t="inlineStr">
        <is>
          <t>2015-02</t>
        </is>
      </c>
      <c r="B49" s="20" t="n">
        <v>3.7</v>
      </c>
      <c r="C49" s="10" t="n">
        <v>5891.5</v>
      </c>
      <c r="D49" s="21">
        <f>B49/$B$5*100</f>
        <v/>
      </c>
      <c r="E49" s="21">
        <f>C49/$C$5*100</f>
        <v/>
      </c>
    </row>
    <row r="50">
      <c r="A50" s="9" t="inlineStr">
        <is>
          <t>2015-03</t>
        </is>
      </c>
      <c r="B50" s="20" t="n">
        <v>3.65</v>
      </c>
      <c r="C50" s="10" t="n">
        <v>5790</v>
      </c>
      <c r="D50" s="21">
        <f>B50/$B$5*100</f>
        <v/>
      </c>
      <c r="E50" s="21">
        <f>C50/$C$5*100</f>
        <v/>
      </c>
    </row>
    <row r="51">
      <c r="A51" s="9" t="inlineStr">
        <is>
          <t>2015-04</t>
        </is>
      </c>
      <c r="B51" s="20" t="n">
        <v>3.68</v>
      </c>
      <c r="C51" s="10" t="n">
        <v>5777.2</v>
      </c>
      <c r="D51" s="21">
        <f>B51/$B$5*100</f>
        <v/>
      </c>
      <c r="E51" s="21">
        <f>C51/$C$5*100</f>
        <v/>
      </c>
    </row>
    <row r="52">
      <c r="A52" s="9" t="inlineStr">
        <is>
          <t>2015-05</t>
        </is>
      </c>
      <c r="B52" s="20" t="n">
        <v>3.36</v>
      </c>
      <c r="C52" s="10" t="n">
        <v>5459</v>
      </c>
      <c r="D52" s="21">
        <f>B52/$B$5*100</f>
        <v/>
      </c>
      <c r="E52" s="21">
        <f>C52/$C$5*100</f>
        <v/>
      </c>
    </row>
    <row r="53">
      <c r="A53" s="9" t="inlineStr">
        <is>
          <t>2015-06</t>
        </is>
      </c>
      <c r="B53" s="20" t="n">
        <v>3.56</v>
      </c>
      <c r="C53" s="10" t="n">
        <v>5699.2</v>
      </c>
      <c r="D53" s="21">
        <f>B53/$B$5*100</f>
        <v/>
      </c>
      <c r="E53" s="21">
        <f>C53/$C$5*100</f>
        <v/>
      </c>
    </row>
    <row r="54">
      <c r="A54" s="9" t="inlineStr">
        <is>
          <t>2015-07</t>
        </is>
      </c>
      <c r="B54" s="20" t="n">
        <v>3.05</v>
      </c>
      <c r="C54" s="10" t="n">
        <v>5207</v>
      </c>
      <c r="D54" s="21">
        <f>B54/$B$5*100</f>
        <v/>
      </c>
      <c r="E54" s="21">
        <f>C54/$C$5*100</f>
        <v/>
      </c>
    </row>
    <row r="55">
      <c r="A55" s="9" t="inlineStr">
        <is>
          <t>2015-08</t>
        </is>
      </c>
      <c r="B55" s="20" t="n">
        <v>3.27</v>
      </c>
      <c r="C55" s="10" t="n">
        <v>5021.6</v>
      </c>
      <c r="D55" s="21">
        <f>B55/$B$5*100</f>
        <v/>
      </c>
      <c r="E55" s="21">
        <f>C55/$C$5*100</f>
        <v/>
      </c>
    </row>
    <row r="56">
      <c r="A56" s="9" t="inlineStr">
        <is>
          <t>2015-09</t>
        </is>
      </c>
      <c r="B56" s="20" t="n">
        <v>3.61</v>
      </c>
      <c r="C56" s="10" t="n">
        <v>5239.4</v>
      </c>
      <c r="D56" s="21">
        <f>B56/$B$5*100</f>
        <v/>
      </c>
      <c r="E56" s="21">
        <f>C56/$C$5*100</f>
        <v/>
      </c>
    </row>
    <row r="57">
      <c r="A57" s="9" t="inlineStr">
        <is>
          <t>2015-10</t>
        </is>
      </c>
      <c r="B57" s="20" t="n">
        <v>3.82</v>
      </c>
      <c r="C57" s="10" t="n">
        <v>5166.5</v>
      </c>
      <c r="D57" s="21">
        <f>B57/$B$5*100</f>
        <v/>
      </c>
      <c r="E57" s="21">
        <f>C57/$C$5*100</f>
        <v/>
      </c>
    </row>
    <row r="58">
      <c r="A58" s="9" t="inlineStr">
        <is>
          <t>2015-11</t>
        </is>
      </c>
      <c r="B58" s="20" t="n">
        <v>3.51</v>
      </c>
      <c r="C58" s="10" t="n">
        <v>5295.9</v>
      </c>
      <c r="D58" s="21">
        <f>B58/$B$5*100</f>
        <v/>
      </c>
      <c r="E58" s="21">
        <f>C58/$C$5*100</f>
        <v/>
      </c>
    </row>
    <row r="59">
      <c r="A59" s="9" t="inlineStr">
        <is>
          <t>2015-12</t>
        </is>
      </c>
      <c r="B59" s="20" t="n">
        <v>3.58</v>
      </c>
      <c r="C59" s="10" t="n">
        <v>5005.5</v>
      </c>
      <c r="D59" s="21">
        <f>B59/$B$5*100</f>
        <v/>
      </c>
      <c r="E59" s="21">
        <f>C59/$C$5*100</f>
        <v/>
      </c>
    </row>
    <row r="60">
      <c r="A60" s="9" t="inlineStr">
        <is>
          <t>2016-01</t>
        </is>
      </c>
      <c r="B60" s="20" t="n">
        <v>3.6</v>
      </c>
      <c r="C60" s="10" t="n">
        <v>4880.9</v>
      </c>
      <c r="D60" s="21">
        <f>B60/$B$5*100</f>
        <v/>
      </c>
      <c r="E60" s="21">
        <f>C60/$C$5*100</f>
        <v/>
      </c>
    </row>
    <row r="61">
      <c r="A61" s="9" t="inlineStr">
        <is>
          <t>2016-02</t>
        </is>
      </c>
      <c r="B61" s="20" t="n">
        <v>3.91</v>
      </c>
      <c r="C61" s="10" t="n">
        <v>5082.8</v>
      </c>
      <c r="D61" s="21">
        <f>B61/$B$5*100</f>
        <v/>
      </c>
      <c r="E61" s="21">
        <f>C61/$C$5*100</f>
        <v/>
      </c>
    </row>
    <row r="62">
      <c r="A62" s="9" t="inlineStr">
        <is>
          <t>2016-03</t>
        </is>
      </c>
      <c r="B62" s="20" t="n">
        <v>4.56</v>
      </c>
      <c r="C62" s="10" t="n">
        <v>5252.2</v>
      </c>
      <c r="D62" s="21">
        <f>B62/$B$5*100</f>
        <v/>
      </c>
      <c r="E62" s="21">
        <f>C62/$C$5*100</f>
        <v/>
      </c>
    </row>
    <row r="63">
      <c r="A63" s="9" t="inlineStr">
        <is>
          <t>2016-04</t>
        </is>
      </c>
      <c r="B63" s="20" t="n">
        <v>4.61</v>
      </c>
      <c r="C63" s="10" t="n">
        <v>5378.6</v>
      </c>
      <c r="D63" s="21">
        <f>B63/$B$5*100</f>
        <v/>
      </c>
      <c r="E63" s="21">
        <f>C63/$C$5*100</f>
        <v/>
      </c>
    </row>
    <row r="64">
      <c r="A64" s="9" t="inlineStr">
        <is>
          <t>2016-05</t>
        </is>
      </c>
      <c r="B64" s="20" t="n">
        <v>4.22</v>
      </c>
      <c r="C64" s="10" t="n">
        <v>5233.4</v>
      </c>
      <c r="D64" s="21">
        <f>B64/$B$5*100</f>
        <v/>
      </c>
      <c r="E64" s="21">
        <f>C64/$C$5*100</f>
        <v/>
      </c>
    </row>
    <row r="65">
      <c r="A65" s="9" t="inlineStr">
        <is>
          <t>2016-06</t>
        </is>
      </c>
      <c r="B65" s="20" t="n">
        <v>4.63</v>
      </c>
      <c r="C65" s="10" t="n">
        <v>5562.3</v>
      </c>
      <c r="D65" s="21">
        <f>B65/$B$5*100</f>
        <v/>
      </c>
      <c r="E65" s="21">
        <f>C65/$C$5*100</f>
        <v/>
      </c>
    </row>
    <row r="66">
      <c r="A66" s="9" t="inlineStr">
        <is>
          <t>2016-07</t>
        </is>
      </c>
      <c r="B66" s="20" t="n">
        <v>4.46</v>
      </c>
      <c r="C66" s="10" t="n">
        <v>5433</v>
      </c>
      <c r="D66" s="21">
        <f>B66/$B$5*100</f>
        <v/>
      </c>
      <c r="E66" s="21">
        <f>C66/$C$5*100</f>
        <v/>
      </c>
    </row>
    <row r="67">
      <c r="A67" s="9" t="inlineStr">
        <is>
          <t>2016-08</t>
        </is>
      </c>
      <c r="B67" s="20" t="n">
        <v>4.68</v>
      </c>
      <c r="C67" s="10" t="n">
        <v>5435.9</v>
      </c>
      <c r="D67" s="21">
        <f>B67/$B$5*100</f>
        <v/>
      </c>
      <c r="E67" s="21">
        <f>C67/$C$5*100</f>
        <v/>
      </c>
    </row>
    <row r="68">
      <c r="A68" s="9" t="inlineStr">
        <is>
          <t>2016-09</t>
        </is>
      </c>
      <c r="B68" s="20" t="n">
        <v>4.82</v>
      </c>
      <c r="C68" s="10" t="n">
        <v>5317.7</v>
      </c>
      <c r="D68" s="21">
        <f>B68/$B$5*100</f>
        <v/>
      </c>
      <c r="E68" s="21">
        <f>C68/$C$5*100</f>
        <v/>
      </c>
    </row>
    <row r="69">
      <c r="A69" s="9" t="inlineStr">
        <is>
          <t>2016-10</t>
        </is>
      </c>
      <c r="B69" s="20" t="n">
        <v>4.87</v>
      </c>
      <c r="C69" s="10" t="n">
        <v>5440.5</v>
      </c>
      <c r="D69" s="21">
        <f>B69/$B$5*100</f>
        <v/>
      </c>
      <c r="E69" s="21">
        <f>C69/$C$5*100</f>
        <v/>
      </c>
    </row>
    <row r="70">
      <c r="A70" s="9" t="inlineStr">
        <is>
          <t>2016-11</t>
        </is>
      </c>
      <c r="B70" s="20" t="n">
        <v>4.75</v>
      </c>
      <c r="C70" s="10" t="n">
        <v>5665.8</v>
      </c>
      <c r="D70" s="21">
        <f>B70/$B$5*100</f>
        <v/>
      </c>
      <c r="E70" s="21">
        <f>C70/$C$5*100</f>
        <v/>
      </c>
    </row>
    <row r="71">
      <c r="A71" s="9" t="inlineStr">
        <is>
          <t>2016-12</t>
        </is>
      </c>
      <c r="B71" s="20" t="n">
        <v>4.61</v>
      </c>
      <c r="C71" s="10" t="n">
        <v>5620.9</v>
      </c>
      <c r="D71" s="21">
        <f>B71/$B$5*100</f>
        <v/>
      </c>
      <c r="E71" s="21">
        <f>C71/$C$5*100</f>
        <v/>
      </c>
    </row>
    <row r="72">
      <c r="A72" s="9" t="inlineStr">
        <is>
          <t>2017-01</t>
        </is>
      </c>
      <c r="B72" s="20" t="n">
        <v>5.33</v>
      </c>
      <c r="C72" s="10" t="n">
        <v>5712.2</v>
      </c>
      <c r="D72" s="21">
        <f>B72/$B$5*100</f>
        <v/>
      </c>
      <c r="E72" s="21">
        <f>C72/$C$5*100</f>
        <v/>
      </c>
    </row>
    <row r="73">
      <c r="A73" s="9" t="inlineStr">
        <is>
          <t>2017-02</t>
        </is>
      </c>
      <c r="B73" s="20" t="n">
        <v>5.92</v>
      </c>
      <c r="C73" s="10" t="n">
        <v>5864.9</v>
      </c>
      <c r="D73" s="21">
        <f>B73/$B$5*100</f>
        <v/>
      </c>
      <c r="E73" s="21">
        <f>C73/$C$5*100</f>
        <v/>
      </c>
    </row>
    <row r="74">
      <c r="A74" s="9" t="inlineStr">
        <is>
          <t>2017-03</t>
        </is>
      </c>
      <c r="B74" s="20" t="n">
        <v>6</v>
      </c>
      <c r="C74" s="10" t="n">
        <v>5924.1</v>
      </c>
      <c r="D74" s="21">
        <f>B74/$B$5*100</f>
        <v/>
      </c>
      <c r="E74" s="21">
        <f>C74/$C$5*100</f>
        <v/>
      </c>
    </row>
    <row r="75">
      <c r="A75" s="9" t="inlineStr">
        <is>
          <t>2017-04</t>
        </is>
      </c>
      <c r="B75" s="20" t="n">
        <v>5.42</v>
      </c>
      <c r="C75" s="10" t="n">
        <v>5724.6</v>
      </c>
      <c r="D75" s="21">
        <f>B75/$B$5*100</f>
        <v/>
      </c>
      <c r="E75" s="21">
        <f>C75/$C$5*100</f>
        <v/>
      </c>
    </row>
    <row r="76">
      <c r="A76" s="9" t="inlineStr">
        <is>
          <t>2017-05</t>
        </is>
      </c>
      <c r="B76" s="20" t="n">
        <v>5.75</v>
      </c>
      <c r="C76" s="10" t="n">
        <v>5721.5</v>
      </c>
      <c r="D76" s="21">
        <f>B76/$B$5*100</f>
        <v/>
      </c>
      <c r="E76" s="21">
        <f>C76/$C$5*100</f>
        <v/>
      </c>
    </row>
    <row r="77">
      <c r="A77" s="9" t="inlineStr">
        <is>
          <t>2017-06</t>
        </is>
      </c>
      <c r="B77" s="20" t="n">
        <v>5.74</v>
      </c>
      <c r="C77" s="10" t="n">
        <v>5720.6</v>
      </c>
      <c r="D77" s="21">
        <f>B77/$B$5*100</f>
        <v/>
      </c>
      <c r="E77" s="21">
        <f>C77/$C$5*100</f>
        <v/>
      </c>
    </row>
    <row r="78">
      <c r="A78" s="9" t="inlineStr">
        <is>
          <t>2017-07</t>
        </is>
      </c>
      <c r="B78" s="20" t="n">
        <v>5.91</v>
      </c>
      <c r="C78" s="10" t="n">
        <v>5714.5</v>
      </c>
      <c r="D78" s="21">
        <f>B78/$B$5*100</f>
        <v/>
      </c>
      <c r="E78" s="21">
        <f>C78/$C$5*100</f>
        <v/>
      </c>
    </row>
    <row r="79">
      <c r="A79" s="9" t="inlineStr">
        <is>
          <t>2017-08</t>
        </is>
      </c>
      <c r="B79" s="20" t="n">
        <v>5.74</v>
      </c>
      <c r="C79" s="10" t="n">
        <v>5681.6</v>
      </c>
      <c r="D79" s="21">
        <f>B79/$B$5*100</f>
        <v/>
      </c>
      <c r="E79" s="21">
        <f>C79/$C$5*100</f>
        <v/>
      </c>
    </row>
    <row r="80">
      <c r="A80" s="9" t="inlineStr">
        <is>
          <t>2017-09</t>
        </is>
      </c>
      <c r="B80" s="20" t="n">
        <v>6.3</v>
      </c>
      <c r="C80" s="10" t="n">
        <v>5909</v>
      </c>
      <c r="D80" s="21">
        <f>B80/$B$5*100</f>
        <v/>
      </c>
      <c r="E80" s="21">
        <f>C80/$C$5*100</f>
        <v/>
      </c>
    </row>
    <row r="81">
      <c r="A81" s="9" t="inlineStr">
        <is>
          <t>2017-10</t>
        </is>
      </c>
      <c r="B81" s="20" t="n">
        <v>6.76</v>
      </c>
      <c r="C81" s="10" t="n">
        <v>5969.9</v>
      </c>
      <c r="D81" s="21">
        <f>B81/$B$5*100</f>
        <v/>
      </c>
      <c r="E81" s="21">
        <f>C81/$C$5*100</f>
        <v/>
      </c>
    </row>
    <row r="82">
      <c r="A82" s="9" t="inlineStr">
        <is>
          <t>2017-11</t>
        </is>
      </c>
      <c r="B82" s="20" t="n">
        <v>6.76</v>
      </c>
      <c r="C82" s="10" t="n">
        <v>6065.1</v>
      </c>
      <c r="D82" s="21">
        <f>B82/$B$5*100</f>
        <v/>
      </c>
      <c r="E82" s="21">
        <f>C82/$C$5*100</f>
        <v/>
      </c>
    </row>
    <row r="83">
      <c r="A83" s="9" t="inlineStr">
        <is>
          <t>2017-12</t>
        </is>
      </c>
      <c r="B83" s="20" t="n">
        <v>6.71</v>
      </c>
      <c r="C83" s="10" t="n">
        <v>6037.7</v>
      </c>
      <c r="D83" s="21">
        <f>B83/$B$5*100</f>
        <v/>
      </c>
      <c r="E83" s="21">
        <f>C83/$C$5*100</f>
        <v/>
      </c>
    </row>
    <row r="84">
      <c r="A84" s="9" t="inlineStr">
        <is>
          <t>2018-01</t>
        </is>
      </c>
      <c r="B84" s="20" t="n">
        <v>7.04</v>
      </c>
      <c r="C84" s="10" t="n">
        <v>6016</v>
      </c>
      <c r="D84" s="21">
        <f>B84/$B$5*100</f>
        <v/>
      </c>
      <c r="E84" s="21">
        <f>C84/$C$5*100</f>
        <v/>
      </c>
    </row>
    <row r="85">
      <c r="A85" s="9" t="inlineStr">
        <is>
          <t>2018-02</t>
        </is>
      </c>
      <c r="B85" s="20" t="n">
        <v>6.38</v>
      </c>
      <c r="C85" s="10" t="n">
        <v>5759.4</v>
      </c>
      <c r="D85" s="21">
        <f>B85/$B$5*100</f>
        <v/>
      </c>
      <c r="E85" s="21">
        <f>C85/$C$5*100</f>
        <v/>
      </c>
    </row>
    <row r="86">
      <c r="A86" s="9" t="inlineStr">
        <is>
          <t>2018-03</t>
        </is>
      </c>
      <c r="B86" s="20" t="n">
        <v>5.57</v>
      </c>
      <c r="C86" s="10" t="n">
        <v>5982.7</v>
      </c>
      <c r="D86" s="21">
        <f>B86/$B$5*100</f>
        <v/>
      </c>
      <c r="E86" s="21">
        <f>C86/$C$5*100</f>
        <v/>
      </c>
    </row>
    <row r="87">
      <c r="A87" s="9" t="inlineStr">
        <is>
          <t>2018-04</t>
        </is>
      </c>
      <c r="B87" s="20" t="n">
        <v>5.47</v>
      </c>
      <c r="C87" s="10" t="n">
        <v>6011.9</v>
      </c>
      <c r="D87" s="21">
        <f>B87/$B$5*100</f>
        <v/>
      </c>
      <c r="E87" s="21">
        <f>C87/$C$5*100</f>
        <v/>
      </c>
    </row>
    <row r="88">
      <c r="A88" s="9" t="inlineStr">
        <is>
          <t>2018-05</t>
        </is>
      </c>
      <c r="B88" s="20" t="n">
        <v>5.73</v>
      </c>
      <c r="C88" s="10" t="n">
        <v>6194.6</v>
      </c>
      <c r="D88" s="21">
        <f>B88/$B$5*100</f>
        <v/>
      </c>
      <c r="E88" s="21">
        <f>C88/$C$5*100</f>
        <v/>
      </c>
    </row>
    <row r="89">
      <c r="A89" s="9" t="inlineStr">
        <is>
          <t>2018-06</t>
        </is>
      </c>
      <c r="B89" s="20" t="n">
        <v>5.64</v>
      </c>
      <c r="C89" s="10" t="n">
        <v>6280.2</v>
      </c>
      <c r="D89" s="21">
        <f>B89/$B$5*100</f>
        <v/>
      </c>
      <c r="E89" s="21">
        <f>C89/$C$5*100</f>
        <v/>
      </c>
    </row>
    <row r="90">
      <c r="A90" s="9" t="inlineStr">
        <is>
          <t>2018-07</t>
        </is>
      </c>
      <c r="B90" s="20" t="n">
        <v>6.52</v>
      </c>
      <c r="C90" s="10" t="n">
        <v>6319.5</v>
      </c>
      <c r="D90" s="21">
        <f>B90/$B$5*100</f>
        <v/>
      </c>
      <c r="E90" s="21">
        <f>C90/$C$5*100</f>
        <v/>
      </c>
    </row>
    <row r="91">
      <c r="A91" s="9" t="inlineStr">
        <is>
          <t>2018-08</t>
        </is>
      </c>
      <c r="B91" s="20" t="n">
        <v>5.85</v>
      </c>
      <c r="C91" s="10" t="n">
        <v>6207.6</v>
      </c>
      <c r="D91" s="21">
        <f>B91/$B$5*100</f>
        <v/>
      </c>
      <c r="E91" s="21">
        <f>C91/$C$5*100</f>
        <v/>
      </c>
    </row>
    <row r="92">
      <c r="A92" s="9" t="inlineStr">
        <is>
          <t>2018-09</t>
        </is>
      </c>
      <c r="B92" s="20" t="n">
        <v>5.54</v>
      </c>
      <c r="C92" s="10" t="n">
        <v>5830.3</v>
      </c>
      <c r="D92" s="21">
        <f>B92/$B$5*100</f>
        <v/>
      </c>
      <c r="E92" s="21">
        <f>C92/$C$5*100</f>
        <v/>
      </c>
    </row>
    <row r="93">
      <c r="A93" s="9" t="inlineStr">
        <is>
          <t>2018-10</t>
        </is>
      </c>
      <c r="B93" s="20" t="n">
        <v>4.96</v>
      </c>
      <c r="C93" s="10" t="n">
        <v>5667.2</v>
      </c>
      <c r="D93" s="21">
        <f>B93/$B$5*100</f>
        <v/>
      </c>
      <c r="E93" s="21">
        <f>C93/$C$5*100</f>
        <v/>
      </c>
    </row>
    <row r="94">
      <c r="A94" s="9" t="inlineStr">
        <is>
          <t>2018-11</t>
        </is>
      </c>
      <c r="B94" s="20" t="n">
        <v>5.2</v>
      </c>
      <c r="C94" s="10" t="n">
        <v>5646.4</v>
      </c>
      <c r="D94" s="21">
        <f>B94/$B$5*100</f>
        <v/>
      </c>
      <c r="E94" s="21">
        <f>C94/$C$5*100</f>
        <v/>
      </c>
    </row>
    <row r="95">
      <c r="A95" s="9" t="inlineStr">
        <is>
          <t>2018-12</t>
        </is>
      </c>
      <c r="B95" s="20" t="n">
        <v>5.34</v>
      </c>
      <c r="C95" s="10" t="n">
        <v>5864.7</v>
      </c>
      <c r="D95" s="21">
        <f>B95/$B$5*100</f>
        <v/>
      </c>
      <c r="E95" s="21">
        <f>C95/$C$5*100</f>
        <v/>
      </c>
    </row>
    <row r="96">
      <c r="A96" s="9" t="inlineStr">
        <is>
          <t>2019-01</t>
        </is>
      </c>
      <c r="B96" s="20" t="n">
        <v>5.77</v>
      </c>
      <c r="C96" s="10" t="n">
        <v>6169</v>
      </c>
      <c r="D96" s="21">
        <f>B96/$B$5*100</f>
        <v/>
      </c>
      <c r="E96" s="21">
        <f>C96/$C$5*100</f>
        <v/>
      </c>
    </row>
    <row r="97">
      <c r="A97" s="9" t="inlineStr">
        <is>
          <t>2019-02</t>
        </is>
      </c>
      <c r="B97" s="20" t="n">
        <v>5.24</v>
      </c>
      <c r="C97" s="10" t="n">
        <v>6180.7</v>
      </c>
      <c r="D97" s="21">
        <f>B97/$B$5*100</f>
        <v/>
      </c>
      <c r="E97" s="21">
        <f>C97/$C$5*100</f>
        <v/>
      </c>
    </row>
    <row r="98">
      <c r="A98" s="9" t="inlineStr">
        <is>
          <t>2019-03</t>
        </is>
      </c>
      <c r="B98" s="20" t="n">
        <v>5.75</v>
      </c>
      <c r="C98" s="10" t="n">
        <v>6325.5</v>
      </c>
      <c r="D98" s="21">
        <f>B98/$B$5*100</f>
        <v/>
      </c>
      <c r="E98" s="21">
        <f>C98/$C$5*100</f>
        <v/>
      </c>
    </row>
    <row r="99">
      <c r="A99" s="9" t="inlineStr">
        <is>
          <t>2019-04</t>
        </is>
      </c>
      <c r="B99" s="20" t="n">
        <v>6.85</v>
      </c>
      <c r="C99" s="10" t="n">
        <v>6396.9</v>
      </c>
      <c r="D99" s="21">
        <f>B99/$B$5*100</f>
        <v/>
      </c>
      <c r="E99" s="21">
        <f>C99/$C$5*100</f>
        <v/>
      </c>
    </row>
    <row r="100">
      <c r="A100" s="9" t="inlineStr">
        <is>
          <t>2019-05</t>
        </is>
      </c>
      <c r="B100" s="20" t="n">
        <v>7.67</v>
      </c>
      <c r="C100" s="10" t="n">
        <v>6618.8</v>
      </c>
      <c r="D100" s="21">
        <f>B100/$B$5*100</f>
        <v/>
      </c>
      <c r="E100" s="21">
        <f>C100/$C$5*100</f>
        <v/>
      </c>
    </row>
    <row r="101">
      <c r="A101" s="9" t="inlineStr">
        <is>
          <t>2019-06</t>
        </is>
      </c>
      <c r="B101" s="20" t="n">
        <v>7.99</v>
      </c>
      <c r="C101" s="10" t="n">
        <v>6812.6</v>
      </c>
      <c r="D101" s="21">
        <f>B101/$B$5*100</f>
        <v/>
      </c>
      <c r="E101" s="21">
        <f>C101/$C$5*100</f>
        <v/>
      </c>
    </row>
    <row r="102">
      <c r="A102" s="9" t="inlineStr">
        <is>
          <t>2019-07</t>
        </is>
      </c>
      <c r="B102" s="20" t="n">
        <v>7.39</v>
      </c>
      <c r="C102" s="10" t="n">
        <v>6604.2</v>
      </c>
      <c r="D102" s="21">
        <f>B102/$B$5*100</f>
        <v/>
      </c>
      <c r="E102" s="21">
        <f>C102/$C$5*100</f>
        <v/>
      </c>
    </row>
    <row r="103">
      <c r="A103" s="9" t="inlineStr">
        <is>
          <t>2019-08</t>
        </is>
      </c>
      <c r="B103" s="20" t="n">
        <v>7.3</v>
      </c>
      <c r="C103" s="10" t="n">
        <v>6688.3</v>
      </c>
      <c r="D103" s="21">
        <f>B103/$B$5*100</f>
        <v/>
      </c>
      <c r="E103" s="21">
        <f>C103/$C$5*100</f>
        <v/>
      </c>
    </row>
    <row r="104">
      <c r="A104" s="9" t="inlineStr">
        <is>
          <t>2019-09</t>
        </is>
      </c>
      <c r="B104" s="20" t="n">
        <v>7.01</v>
      </c>
      <c r="C104" s="10" t="n">
        <v>6663.4</v>
      </c>
      <c r="D104" s="21">
        <f>B104/$B$5*100</f>
        <v/>
      </c>
      <c r="E104" s="21">
        <f>C104/$C$5*100</f>
        <v/>
      </c>
    </row>
    <row r="105">
      <c r="A105" s="9" t="inlineStr">
        <is>
          <t>2019-10</t>
        </is>
      </c>
      <c r="B105" s="20" t="n">
        <v>6.75</v>
      </c>
      <c r="C105" s="10" t="n">
        <v>6846</v>
      </c>
      <c r="D105" s="21">
        <f>B105/$B$5*100</f>
        <v/>
      </c>
      <c r="E105" s="21">
        <f>C105/$C$5*100</f>
        <v/>
      </c>
    </row>
    <row r="106">
      <c r="A106" s="9" t="inlineStr">
        <is>
          <t>2019-11</t>
        </is>
      </c>
      <c r="B106" s="20" t="n">
        <v>6.27</v>
      </c>
      <c r="C106" s="10" t="n">
        <v>6684.1</v>
      </c>
      <c r="D106" s="21">
        <f>B106/$B$5*100</f>
        <v/>
      </c>
      <c r="E106" s="21">
        <f>C106/$C$5*100</f>
        <v/>
      </c>
    </row>
    <row r="107">
      <c r="A107" s="9" t="inlineStr">
        <is>
          <t>2019-12</t>
        </is>
      </c>
      <c r="B107" s="20" t="n">
        <v>5.41</v>
      </c>
      <c r="C107" s="10" t="n">
        <v>7017.2</v>
      </c>
      <c r="D107" s="21">
        <f>B107/$B$5*100</f>
        <v/>
      </c>
      <c r="E107" s="21">
        <f>C107/$C$5*100</f>
        <v/>
      </c>
    </row>
    <row r="108">
      <c r="A108" s="9" t="inlineStr">
        <is>
          <t>2020-01</t>
        </is>
      </c>
      <c r="B108" s="20" t="n">
        <v>4.63</v>
      </c>
      <c r="C108" s="10" t="n">
        <v>6441.2</v>
      </c>
      <c r="D108" s="21">
        <f>B108/$B$5*100</f>
        <v/>
      </c>
      <c r="E108" s="21">
        <f>C108/$C$5*100</f>
        <v/>
      </c>
    </row>
    <row r="109">
      <c r="A109" s="9" t="inlineStr">
        <is>
          <t>2020-02</t>
        </is>
      </c>
      <c r="B109" s="20" t="n">
        <v>5.13</v>
      </c>
      <c r="C109" s="10" t="n">
        <v>5076.8</v>
      </c>
      <c r="D109" s="21">
        <f>B109/$B$5*100</f>
        <v/>
      </c>
      <c r="E109" s="21">
        <f>C109/$C$5*100</f>
        <v/>
      </c>
    </row>
    <row r="110">
      <c r="A110" s="9" t="inlineStr">
        <is>
          <t>2020-03</t>
        </is>
      </c>
      <c r="B110" s="20" t="n">
        <v>4.92</v>
      </c>
      <c r="C110" s="10" t="n">
        <v>5522.4</v>
      </c>
      <c r="D110" s="21">
        <f>B110/$B$5*100</f>
        <v/>
      </c>
      <c r="E110" s="21">
        <f>C110/$C$5*100</f>
        <v/>
      </c>
    </row>
    <row r="111">
      <c r="A111" s="9" t="inlineStr">
        <is>
          <t>2020-04</t>
        </is>
      </c>
      <c r="B111" s="20" t="n">
        <v>4.71</v>
      </c>
      <c r="C111" s="10" t="n">
        <v>5755.7</v>
      </c>
      <c r="D111" s="21">
        <f>B111/$B$5*100</f>
        <v/>
      </c>
      <c r="E111" s="21">
        <f>C111/$C$5*100</f>
        <v/>
      </c>
    </row>
    <row r="112">
      <c r="A112" s="9" t="inlineStr">
        <is>
          <t>2020-05</t>
        </is>
      </c>
      <c r="B112" s="20" t="n">
        <v>4.61</v>
      </c>
      <c r="C112" s="10" t="n">
        <v>5897.9</v>
      </c>
      <c r="D112" s="21">
        <f>B112/$B$5*100</f>
        <v/>
      </c>
      <c r="E112" s="21">
        <f>C112/$C$5*100</f>
        <v/>
      </c>
    </row>
    <row r="113">
      <c r="A113" s="9" t="inlineStr">
        <is>
          <t>2020-06</t>
        </is>
      </c>
      <c r="B113" s="20" t="n">
        <v>4.43</v>
      </c>
      <c r="C113" s="10" t="n">
        <v>5927.8</v>
      </c>
      <c r="D113" s="21">
        <f>B113/$B$5*100</f>
        <v/>
      </c>
      <c r="E113" s="21">
        <f>C113/$C$5*100</f>
        <v/>
      </c>
    </row>
    <row r="114">
      <c r="A114" s="9" t="inlineStr">
        <is>
          <t>2020-07</t>
        </is>
      </c>
      <c r="B114" s="20" t="n">
        <v>4.61</v>
      </c>
      <c r="C114" s="10" t="n">
        <v>6060.5</v>
      </c>
      <c r="D114" s="21">
        <f>B114/$B$5*100</f>
        <v/>
      </c>
      <c r="E114" s="21">
        <f>C114/$C$5*100</f>
        <v/>
      </c>
    </row>
    <row r="115">
      <c r="A115" s="9" t="inlineStr">
        <is>
          <t>2020-08</t>
        </is>
      </c>
      <c r="B115" s="20" t="n">
        <v>4.08</v>
      </c>
      <c r="C115" s="10" t="n">
        <v>5815.9</v>
      </c>
      <c r="D115" s="21">
        <f>B115/$B$5*100</f>
        <v/>
      </c>
      <c r="E115" s="21">
        <f>C115/$C$5*100</f>
        <v/>
      </c>
    </row>
    <row r="116">
      <c r="A116" s="9" t="inlineStr">
        <is>
          <t>2020-09</t>
        </is>
      </c>
      <c r="B116" s="20" t="n">
        <v>4.16</v>
      </c>
      <c r="C116" s="10" t="n">
        <v>5927.6</v>
      </c>
      <c r="D116" s="21">
        <f>B116/$B$5*100</f>
        <v/>
      </c>
      <c r="E116" s="21">
        <f>C116/$C$5*100</f>
        <v/>
      </c>
    </row>
    <row r="117">
      <c r="A117" s="9" t="inlineStr">
        <is>
          <t>2020-10</t>
        </is>
      </c>
      <c r="B117" s="20" t="n">
        <v>5.14</v>
      </c>
      <c r="C117" s="10" t="n">
        <v>6517.8</v>
      </c>
      <c r="D117" s="21">
        <f>B117/$B$5*100</f>
        <v/>
      </c>
      <c r="E117" s="21">
        <f>C117/$C$5*100</f>
        <v/>
      </c>
    </row>
    <row r="118">
      <c r="A118" s="9" t="inlineStr">
        <is>
          <t>2020-11</t>
        </is>
      </c>
      <c r="B118" s="20" t="n">
        <v>5.97</v>
      </c>
      <c r="C118" s="10" t="n">
        <v>6587.1</v>
      </c>
      <c r="D118" s="21">
        <f>B118/$B$5*100</f>
        <v/>
      </c>
      <c r="E118" s="21">
        <f>C118/$C$5*100</f>
        <v/>
      </c>
    </row>
    <row r="119">
      <c r="A119" s="9" t="inlineStr">
        <is>
          <t>2020-12</t>
        </is>
      </c>
      <c r="B119" s="20" t="n">
        <v>5.52</v>
      </c>
      <c r="C119" s="10" t="n">
        <v>6607.4</v>
      </c>
      <c r="D119" s="21">
        <f>B119/$B$5*100</f>
        <v/>
      </c>
      <c r="E119" s="21">
        <f>C119/$C$5*100</f>
        <v/>
      </c>
    </row>
    <row r="120">
      <c r="A120" s="9" t="inlineStr">
        <is>
          <t>2021-01</t>
        </is>
      </c>
      <c r="B120" s="20" t="n">
        <v>5.54</v>
      </c>
      <c r="C120" s="10" t="n">
        <v>6673.3</v>
      </c>
      <c r="D120" s="21">
        <f>B120/$B$5*100</f>
        <v/>
      </c>
      <c r="E120" s="21">
        <f>C120/$C$5*100</f>
        <v/>
      </c>
    </row>
    <row r="121">
      <c r="A121" s="9" t="inlineStr">
        <is>
          <t>2021-02</t>
        </is>
      </c>
      <c r="B121" s="20" t="n">
        <v>5.23</v>
      </c>
      <c r="C121" s="10" t="n">
        <v>6790.7</v>
      </c>
      <c r="D121" s="21">
        <f>B121/$B$5*100</f>
        <v/>
      </c>
      <c r="E121" s="21">
        <f>C121/$C$5*100</f>
        <v/>
      </c>
    </row>
    <row r="122">
      <c r="A122" s="9" t="inlineStr">
        <is>
          <t>2021-03</t>
        </is>
      </c>
      <c r="B122" s="20" t="n">
        <v>6.18</v>
      </c>
      <c r="C122" s="10" t="n">
        <v>7025.8</v>
      </c>
      <c r="D122" s="21">
        <f>B122/$B$5*100</f>
        <v/>
      </c>
      <c r="E122" s="21">
        <f>C122/$C$5*100</f>
        <v/>
      </c>
    </row>
    <row r="123">
      <c r="A123" s="9" t="inlineStr">
        <is>
          <t>2021-04</t>
        </is>
      </c>
      <c r="B123" s="20" t="n">
        <v>6.29</v>
      </c>
      <c r="C123" s="10" t="n">
        <v>7161.6</v>
      </c>
      <c r="D123" s="21">
        <f>B123/$B$5*100</f>
        <v/>
      </c>
      <c r="E123" s="21">
        <f>C123/$C$5*100</f>
        <v/>
      </c>
    </row>
    <row r="124">
      <c r="A124" s="9" t="inlineStr">
        <is>
          <t>2021-05</t>
        </is>
      </c>
      <c r="B124" s="20" t="n">
        <v>6.51</v>
      </c>
      <c r="C124" s="10" t="n">
        <v>7313</v>
      </c>
      <c r="D124" s="21">
        <f>B124/$B$5*100</f>
        <v/>
      </c>
      <c r="E124" s="21">
        <f>C124/$C$5*100</f>
        <v/>
      </c>
    </row>
    <row r="125">
      <c r="A125" s="9" t="inlineStr">
        <is>
          <t>2021-06</t>
        </is>
      </c>
      <c r="B125" s="20" t="n">
        <v>7.14</v>
      </c>
      <c r="C125" s="10" t="n">
        <v>7392.6</v>
      </c>
      <c r="D125" s="21">
        <f>B125/$B$5*100</f>
        <v/>
      </c>
      <c r="E125" s="21">
        <f>C125/$C$5*100</f>
        <v/>
      </c>
    </row>
    <row r="126">
      <c r="A126" s="9" t="inlineStr">
        <is>
          <t>2021-07</t>
        </is>
      </c>
      <c r="B126" s="20" t="n">
        <v>6.77</v>
      </c>
      <c r="C126" s="10" t="n">
        <v>7534.9</v>
      </c>
      <c r="D126" s="21">
        <f>B126/$B$5*100</f>
        <v/>
      </c>
      <c r="E126" s="21">
        <f>C126/$C$5*100</f>
        <v/>
      </c>
    </row>
    <row r="127">
      <c r="A127" s="9" t="inlineStr">
        <is>
          <t>2021-08</t>
        </is>
      </c>
      <c r="B127" s="20" t="n">
        <v>6.97</v>
      </c>
      <c r="C127" s="10" t="n">
        <v>7332.2</v>
      </c>
      <c r="D127" s="21">
        <f>B127/$B$5*100</f>
        <v/>
      </c>
      <c r="E127" s="21">
        <f>C127/$C$5*100</f>
        <v/>
      </c>
    </row>
    <row r="128">
      <c r="A128" s="9" t="inlineStr">
        <is>
          <t>2021-09</t>
        </is>
      </c>
      <c r="B128" s="20" t="n">
        <v>6.62</v>
      </c>
      <c r="C128" s="10" t="n">
        <v>7323.7</v>
      </c>
      <c r="D128" s="21">
        <f>B128/$B$5*100</f>
        <v/>
      </c>
      <c r="E128" s="21">
        <f>C128/$C$5*100</f>
        <v/>
      </c>
    </row>
    <row r="129">
      <c r="A129" s="9" t="inlineStr">
        <is>
          <t>2021-10</t>
        </is>
      </c>
      <c r="B129" s="20" t="n">
        <v>7</v>
      </c>
      <c r="C129" s="10" t="n">
        <v>7256</v>
      </c>
      <c r="D129" s="21">
        <f>B129/$B$5*100</f>
        <v/>
      </c>
      <c r="E129" s="21">
        <f>C129/$C$5*100</f>
        <v/>
      </c>
    </row>
    <row r="130">
      <c r="A130" s="9" t="inlineStr">
        <is>
          <t>2021-11</t>
        </is>
      </c>
      <c r="B130" s="20" t="n">
        <v>7.01</v>
      </c>
      <c r="C130" s="10" t="n">
        <v>7444.6</v>
      </c>
      <c r="D130" s="21">
        <f>B130/$B$5*100</f>
        <v/>
      </c>
      <c r="E130" s="21">
        <f>C130/$C$5*100</f>
        <v/>
      </c>
    </row>
    <row r="131">
      <c r="A131" s="9" t="inlineStr">
        <is>
          <t>2021-12</t>
        </is>
      </c>
      <c r="B131" s="20" t="n">
        <v>6.23</v>
      </c>
      <c r="C131" s="10" t="n">
        <v>6971.6</v>
      </c>
      <c r="D131" s="21">
        <f>B131/$B$5*100</f>
        <v/>
      </c>
      <c r="E131" s="21">
        <f>C131/$C$5*100</f>
        <v/>
      </c>
    </row>
    <row r="132">
      <c r="A132" s="9" t="inlineStr">
        <is>
          <t>2022-01</t>
        </is>
      </c>
      <c r="B132" s="20" t="n">
        <v>6.53</v>
      </c>
      <c r="C132" s="10" t="n">
        <v>7049.1</v>
      </c>
      <c r="D132" s="21">
        <f>B132/$B$5*100</f>
        <v/>
      </c>
      <c r="E132" s="21">
        <f>C132/$C$5*100</f>
        <v/>
      </c>
    </row>
    <row r="133">
      <c r="A133" s="9" t="inlineStr">
        <is>
          <t>2022-02</t>
        </is>
      </c>
      <c r="B133" s="20" t="n">
        <v>6.36</v>
      </c>
      <c r="C133" s="10" t="n">
        <v>7499.6</v>
      </c>
      <c r="D133" s="21">
        <f>B133/$B$5*100</f>
        <v/>
      </c>
      <c r="E133" s="21">
        <f>C133/$C$5*100</f>
        <v/>
      </c>
    </row>
    <row r="134">
      <c r="A134" s="9" t="inlineStr">
        <is>
          <t>2022-03</t>
        </is>
      </c>
      <c r="B134" s="20" t="n">
        <v>7.08</v>
      </c>
      <c r="C134" s="10" t="n">
        <v>7435</v>
      </c>
      <c r="D134" s="21">
        <f>B134/$B$5*100</f>
        <v/>
      </c>
      <c r="E134" s="21">
        <f>C134/$C$5*100</f>
        <v/>
      </c>
    </row>
    <row r="135">
      <c r="A135" s="9" t="inlineStr">
        <is>
          <t>2022-04</t>
        </is>
      </c>
      <c r="B135" s="20" t="n">
        <v>7.39</v>
      </c>
      <c r="C135" s="10" t="n">
        <v>7211.2</v>
      </c>
      <c r="D135" s="21">
        <f>B135/$B$5*100</f>
        <v/>
      </c>
      <c r="E135" s="21">
        <f>C135/$C$5*100</f>
        <v/>
      </c>
    </row>
    <row r="136">
      <c r="A136" s="9" t="inlineStr">
        <is>
          <t>2022-05</t>
        </is>
      </c>
      <c r="B136" s="20" t="n">
        <v>7.38</v>
      </c>
      <c r="C136" s="10" t="n">
        <v>6568.1</v>
      </c>
      <c r="D136" s="21">
        <f>B136/$B$5*100</f>
        <v/>
      </c>
      <c r="E136" s="21">
        <f>C136/$C$5*100</f>
        <v/>
      </c>
    </row>
    <row r="137">
      <c r="A137" s="9" t="inlineStr">
        <is>
          <t>2022-06</t>
        </is>
      </c>
      <c r="B137" s="20" t="n">
        <v>7.24</v>
      </c>
      <c r="C137" s="10" t="n">
        <v>6945.2</v>
      </c>
      <c r="D137" s="21">
        <f>B137/$B$5*100</f>
        <v/>
      </c>
      <c r="E137" s="21">
        <f>C137/$C$5*100</f>
        <v/>
      </c>
    </row>
    <row r="138">
      <c r="A138" s="9" t="inlineStr">
        <is>
          <t>2022-07</t>
        </is>
      </c>
      <c r="B138" s="20" t="n">
        <v>8.18</v>
      </c>
      <c r="C138" s="10" t="n">
        <v>6986.8</v>
      </c>
      <c r="D138" s="21">
        <f>B138/$B$5*100</f>
        <v/>
      </c>
      <c r="E138" s="21">
        <f>C138/$C$5*100</f>
        <v/>
      </c>
    </row>
    <row r="139">
      <c r="A139" s="9" t="inlineStr">
        <is>
          <t>2022-08</t>
        </is>
      </c>
      <c r="B139" s="20" t="n">
        <v>7.43</v>
      </c>
      <c r="C139" s="10" t="n">
        <v>6474.2</v>
      </c>
      <c r="D139" s="21">
        <f>B139/$B$5*100</f>
        <v/>
      </c>
      <c r="E139" s="21">
        <f>C139/$C$5*100</f>
        <v/>
      </c>
    </row>
    <row r="140">
      <c r="A140" s="9" t="inlineStr">
        <is>
          <t>2022-09</t>
        </is>
      </c>
      <c r="B140" s="20" t="n">
        <v>6.67</v>
      </c>
      <c r="C140" s="10" t="n">
        <v>6863.5</v>
      </c>
      <c r="D140" s="21">
        <f>B140/$B$5*100</f>
        <v/>
      </c>
      <c r="E140" s="21">
        <f>C140/$C$5*100</f>
        <v/>
      </c>
    </row>
    <row r="141">
      <c r="A141" s="9" t="inlineStr">
        <is>
          <t>2022-10</t>
        </is>
      </c>
      <c r="B141" s="20" t="n">
        <v>7.3</v>
      </c>
      <c r="C141" s="10" t="n">
        <v>7284.2</v>
      </c>
      <c r="D141" s="21">
        <f>B141/$B$5*100</f>
        <v/>
      </c>
      <c r="E141" s="21">
        <f>C141/$C$5*100</f>
        <v/>
      </c>
    </row>
    <row r="142">
      <c r="A142" s="9" t="inlineStr">
        <is>
          <t>2022-11</t>
        </is>
      </c>
      <c r="B142" s="20" t="n">
        <v>7.75</v>
      </c>
      <c r="C142" s="10" t="n">
        <v>7038.7</v>
      </c>
      <c r="D142" s="21">
        <f>B142/$B$5*100</f>
        <v/>
      </c>
      <c r="E142" s="21">
        <f>C142/$C$5*100</f>
        <v/>
      </c>
    </row>
    <row r="143">
      <c r="A143" s="9" t="inlineStr">
        <is>
          <t>2022-12</t>
        </is>
      </c>
      <c r="B143" s="20" t="n">
        <v>7.87</v>
      </c>
      <c r="C143" s="10" t="n">
        <v>7476.7</v>
      </c>
      <c r="D143" s="21">
        <f>B143/$B$5*100</f>
        <v/>
      </c>
      <c r="E143" s="21">
        <f>C143/$C$5*100</f>
        <v/>
      </c>
    </row>
    <row r="144">
      <c r="A144" s="9" t="inlineStr">
        <is>
          <t>2023-01</t>
        </is>
      </c>
      <c r="B144" s="20" t="n">
        <v>7.6</v>
      </c>
      <c r="C144" s="10" t="n">
        <v>7258.4</v>
      </c>
      <c r="D144" s="21">
        <f>B144/$B$5*100</f>
        <v/>
      </c>
      <c r="E144" s="21">
        <f>C144/$C$5*100</f>
        <v/>
      </c>
    </row>
    <row r="145">
      <c r="A145" s="9" t="inlineStr">
        <is>
          <t>2023-02</t>
        </is>
      </c>
      <c r="B145" s="20" t="n">
        <v>7.05</v>
      </c>
      <c r="C145" s="10" t="n">
        <v>7177.8</v>
      </c>
      <c r="D145" s="21">
        <f>B145/$B$5*100</f>
        <v/>
      </c>
      <c r="E145" s="21">
        <f>C145/$C$5*100</f>
        <v/>
      </c>
    </row>
    <row r="146">
      <c r="A146" s="9" t="inlineStr">
        <is>
          <t>2023-03</t>
        </is>
      </c>
      <c r="B146" s="20" t="n">
        <v>7.72</v>
      </c>
      <c r="C146" s="10" t="n">
        <v>7309.2</v>
      </c>
      <c r="D146" s="21">
        <f>B146/$B$5*100</f>
        <v/>
      </c>
      <c r="E146" s="21">
        <f>C146/$C$5*100</f>
        <v/>
      </c>
    </row>
    <row r="147">
      <c r="A147" s="9" t="inlineStr">
        <is>
          <t>2023-04</t>
        </is>
      </c>
      <c r="B147" s="20" t="n">
        <v>8.449999999999999</v>
      </c>
      <c r="C147" s="10" t="n">
        <v>7091.3</v>
      </c>
      <c r="D147" s="21">
        <f>B147/$B$5*100</f>
        <v/>
      </c>
      <c r="E147" s="21">
        <f>C147/$C$5*100</f>
        <v/>
      </c>
    </row>
    <row r="148">
      <c r="A148" s="9" t="inlineStr">
        <is>
          <t>2023-05</t>
        </is>
      </c>
      <c r="B148" s="20" t="n">
        <v>8.449999999999999</v>
      </c>
      <c r="C148" s="10" t="n">
        <v>7203.3</v>
      </c>
      <c r="D148" s="21">
        <f>B148/$B$5*100</f>
        <v/>
      </c>
      <c r="E148" s="21">
        <f>C148/$C$5*100</f>
        <v/>
      </c>
    </row>
    <row r="149">
      <c r="A149" s="9" t="inlineStr">
        <is>
          <t>2023-06</t>
        </is>
      </c>
      <c r="B149" s="20" t="n">
        <v>8.279999999999999</v>
      </c>
      <c r="C149" s="10" t="n">
        <v>7410.4</v>
      </c>
      <c r="D149" s="21">
        <f>B149/$B$5*100</f>
        <v/>
      </c>
      <c r="E149" s="21">
        <f>C149/$C$5*100</f>
        <v/>
      </c>
    </row>
    <row r="150">
      <c r="A150" s="9" t="inlineStr">
        <is>
          <t>2023-07</t>
        </is>
      </c>
      <c r="B150" s="20" t="n">
        <v>8.32</v>
      </c>
      <c r="C150" s="10" t="n">
        <v>7305.3</v>
      </c>
      <c r="D150" s="21">
        <f>B150/$B$5*100</f>
        <v/>
      </c>
      <c r="E150" s="21">
        <f>C150/$C$5*100</f>
        <v/>
      </c>
    </row>
    <row r="151">
      <c r="A151" s="9" t="inlineStr">
        <is>
          <t>2023-08</t>
        </is>
      </c>
      <c r="B151" s="20" t="n">
        <v>7.43</v>
      </c>
      <c r="C151" s="10" t="n">
        <v>7048.6</v>
      </c>
      <c r="D151" s="21">
        <f>B151/$B$5*100</f>
        <v/>
      </c>
      <c r="E151" s="21">
        <f>C151/$C$5*100</f>
        <v/>
      </c>
    </row>
    <row r="152">
      <c r="A152" s="9" t="inlineStr">
        <is>
          <t>2023-09</t>
        </is>
      </c>
      <c r="B152" s="20" t="n">
        <v>7.24</v>
      </c>
      <c r="C152" s="10" t="n">
        <v>6780.7</v>
      </c>
      <c r="D152" s="21">
        <f>B152/$B$5*100</f>
        <v/>
      </c>
      <c r="E152" s="21">
        <f>C152/$C$5*100</f>
        <v/>
      </c>
    </row>
    <row r="153">
      <c r="A153" s="9" t="inlineStr">
        <is>
          <t>2023-10</t>
        </is>
      </c>
      <c r="B153" s="20" t="n">
        <v>7.58</v>
      </c>
      <c r="C153" s="10" t="n">
        <v>7087.3</v>
      </c>
      <c r="D153" s="21">
        <f>B153/$B$5*100</f>
        <v/>
      </c>
      <c r="E153" s="21">
        <f>C153/$C$5*100</f>
        <v/>
      </c>
    </row>
    <row r="154">
      <c r="A154" s="9" t="inlineStr">
        <is>
          <t>2023-11</t>
        </is>
      </c>
      <c r="B154" s="20" t="n">
        <v>7.39</v>
      </c>
      <c r="C154" s="10" t="n">
        <v>7590.8</v>
      </c>
      <c r="D154" s="21">
        <f>B154/$B$5*100</f>
        <v/>
      </c>
      <c r="E154" s="21">
        <f>C154/$C$5*100</f>
        <v/>
      </c>
    </row>
    <row r="155">
      <c r="A155" s="9" t="inlineStr">
        <is>
          <t>2023-12</t>
        </is>
      </c>
      <c r="B155" s="20" t="n">
        <v>8.140000000000001</v>
      </c>
      <c r="C155" s="10" t="n">
        <v>7680.7</v>
      </c>
      <c r="D155" s="21">
        <f>B155/$B$5*100</f>
        <v/>
      </c>
      <c r="E155" s="21">
        <f>C155/$C$5*100</f>
        <v/>
      </c>
    </row>
    <row r="156">
      <c r="A156" s="9" t="inlineStr">
        <is>
          <t>2024-01</t>
        </is>
      </c>
      <c r="B156" s="20" t="n">
        <v>7.32</v>
      </c>
      <c r="C156" s="10" t="n">
        <v>7698.7</v>
      </c>
      <c r="D156" s="21">
        <f>B156/$B$5*100</f>
        <v/>
      </c>
      <c r="E156" s="21">
        <f>C156/$C$5*100</f>
        <v/>
      </c>
    </row>
    <row r="157">
      <c r="A157" s="9" t="inlineStr">
        <is>
          <t>2024-02</t>
        </is>
      </c>
      <c r="B157" s="20" t="n">
        <v>7.86</v>
      </c>
      <c r="C157" s="10" t="n">
        <v>7896.9</v>
      </c>
      <c r="D157" s="21">
        <f>B157/$B$5*100</f>
        <v/>
      </c>
      <c r="E157" s="21">
        <f>C157/$C$5*100</f>
        <v/>
      </c>
    </row>
    <row r="158">
      <c r="A158" s="9" t="inlineStr">
        <is>
          <t>2024-03</t>
        </is>
      </c>
      <c r="B158" s="20" t="n">
        <v>7.45</v>
      </c>
      <c r="C158" s="10" t="n">
        <v>7664.1</v>
      </c>
      <c r="D158" s="21">
        <f>B158/$B$5*100</f>
        <v/>
      </c>
      <c r="E158" s="21">
        <f>C158/$C$5*100</f>
        <v/>
      </c>
    </row>
    <row r="159">
      <c r="A159" s="9" t="inlineStr">
        <is>
          <t>2024-04</t>
        </is>
      </c>
      <c r="B159" s="20" t="n">
        <v>7.44</v>
      </c>
      <c r="C159" s="10" t="n">
        <v>7701.7</v>
      </c>
      <c r="D159" s="21">
        <f>B159/$B$5*100</f>
        <v/>
      </c>
      <c r="E159" s="21">
        <f>C159/$C$5*100</f>
        <v/>
      </c>
    </row>
    <row r="160">
      <c r="A160" s="9" t="inlineStr">
        <is>
          <t>2024-05</t>
        </is>
      </c>
      <c r="B160" s="20" t="n">
        <v>7.35</v>
      </c>
      <c r="C160" s="10" t="n">
        <v>7767.5</v>
      </c>
      <c r="D160" s="21">
        <f>B160/$B$5*100</f>
        <v/>
      </c>
      <c r="E160" s="21">
        <f>C160/$C$5*100</f>
        <v/>
      </c>
    </row>
    <row r="161">
      <c r="A161" s="9" t="inlineStr">
        <is>
          <t>2024-06</t>
        </is>
      </c>
      <c r="B161" s="20" t="n">
        <v>7.53</v>
      </c>
      <c r="C161" s="10" t="n">
        <v>8092.3</v>
      </c>
      <c r="D161" s="21">
        <f>B161/$B$5*100</f>
        <v/>
      </c>
      <c r="E161" s="21">
        <f>C161/$C$5*100</f>
        <v/>
      </c>
    </row>
    <row r="162">
      <c r="A162" s="9" t="inlineStr">
        <is>
          <t>2024-07</t>
        </is>
      </c>
      <c r="B162" s="20" t="n">
        <v>6.26</v>
      </c>
      <c r="C162" s="10" t="n">
        <v>8091.9</v>
      </c>
      <c r="D162" s="21">
        <f>B162/$B$5*100</f>
        <v/>
      </c>
      <c r="E162" s="21">
        <f>C162/$C$5*100</f>
        <v/>
      </c>
    </row>
    <row r="163">
      <c r="A163" s="9" t="inlineStr">
        <is>
          <t>2024-08</t>
        </is>
      </c>
      <c r="B163" s="20" t="n">
        <v>5.94</v>
      </c>
      <c r="C163" s="10" t="n">
        <v>8269.799999999999</v>
      </c>
      <c r="D163" s="21">
        <f>B163/$B$5*100</f>
        <v/>
      </c>
      <c r="E163" s="21">
        <f>C163/$C$5*100</f>
        <v/>
      </c>
    </row>
    <row r="164">
      <c r="A164" s="9" t="inlineStr">
        <is>
          <t>2024-09</t>
        </is>
      </c>
      <c r="B164" s="20" t="n">
        <v>5.78</v>
      </c>
      <c r="C164" s="10" t="n">
        <v>8160</v>
      </c>
      <c r="D164" s="21">
        <f>B164/$B$5*100</f>
        <v/>
      </c>
      <c r="E164" s="21">
        <f>C164/$C$5*100</f>
        <v/>
      </c>
    </row>
    <row r="165">
      <c r="A165" s="9" t="inlineStr">
        <is>
          <t>2024-10</t>
        </is>
      </c>
      <c r="B165" s="20" t="n">
        <v>5.68</v>
      </c>
      <c r="C165" s="10" t="n">
        <v>8436.200000000001</v>
      </c>
      <c r="D165" s="21">
        <f>B165/$B$5*100</f>
        <v/>
      </c>
      <c r="E165" s="21">
        <f>C165/$C$5*100</f>
        <v/>
      </c>
    </row>
    <row r="166">
      <c r="A166" s="9" t="inlineStr">
        <is>
          <t>2024-11</t>
        </is>
      </c>
      <c r="B166" s="20" t="n">
        <v>5.48</v>
      </c>
      <c r="C166" s="10" t="n">
        <v>8159.1</v>
      </c>
      <c r="D166" s="21">
        <f>B166/$B$5*100</f>
        <v/>
      </c>
      <c r="E166" s="21">
        <f>C166/$C$5*100</f>
        <v/>
      </c>
    </row>
    <row r="167">
      <c r="A167" s="9" t="inlineStr">
        <is>
          <t>2024-12</t>
        </is>
      </c>
      <c r="B167" s="20" t="n">
        <v>5.78</v>
      </c>
      <c r="C167" s="10" t="n">
        <v>8532.299999999999</v>
      </c>
      <c r="D167" s="21">
        <f>B167/$B$5*100</f>
        <v/>
      </c>
      <c r="E167" s="21">
        <f>C167/$C$5*100</f>
        <v/>
      </c>
    </row>
    <row r="168">
      <c r="A168" s="9" t="inlineStr">
        <is>
          <t>2025-01</t>
        </is>
      </c>
      <c r="B168" s="20" t="n">
        <v>6.68</v>
      </c>
      <c r="C168" s="10" t="n">
        <v>8172.4</v>
      </c>
      <c r="D168" s="21">
        <f>B168/$B$5*100</f>
        <v/>
      </c>
      <c r="E168" s="21">
        <f>C168/$C$5*100</f>
        <v/>
      </c>
    </row>
    <row r="169">
      <c r="A169" s="9" t="inlineStr">
        <is>
          <t>2025-02</t>
        </is>
      </c>
      <c r="B169" s="20" t="n">
        <v>6.85</v>
      </c>
      <c r="C169" s="10" t="n">
        <v>7843.4</v>
      </c>
      <c r="D169" s="21">
        <f>B169/$B$5*100</f>
        <v/>
      </c>
      <c r="E169" s="21">
        <f>C169/$C$5*100</f>
        <v/>
      </c>
    </row>
    <row r="170">
      <c r="A170" s="9" t="inlineStr">
        <is>
          <t>2025-03</t>
        </is>
      </c>
      <c r="B170" s="20" t="n">
        <v>6.84</v>
      </c>
      <c r="C170" s="10" t="n">
        <v>8126.2</v>
      </c>
      <c r="D170" s="21">
        <f>B170/$B$5*100</f>
        <v/>
      </c>
      <c r="E170" s="21">
        <f>C170/$C$5*100</f>
        <v/>
      </c>
    </row>
    <row r="171">
      <c r="A171" s="9" t="inlineStr">
        <is>
          <t>2025-04</t>
        </is>
      </c>
      <c r="B171" s="20" t="n">
        <v>6.73</v>
      </c>
      <c r="C171" s="10" t="n">
        <v>8434.700000000001</v>
      </c>
      <c r="D171" s="21">
        <f>B171/$B$5*100</f>
        <v/>
      </c>
      <c r="E171" s="21">
        <f>C171/$C$5*100</f>
        <v/>
      </c>
    </row>
    <row r="172">
      <c r="A172" s="9" t="inlineStr">
        <is>
          <t>2025-05</t>
        </is>
      </c>
      <c r="B172" s="20" t="n">
        <v>7.08</v>
      </c>
      <c r="C172" s="10" t="n">
        <v>8542.299999999999</v>
      </c>
      <c r="D172" s="21">
        <f>B172/$B$5*100</f>
        <v/>
      </c>
      <c r="E172" s="21">
        <f>C172/$C$5*100</f>
        <v/>
      </c>
    </row>
    <row r="173">
      <c r="A173" s="9" t="inlineStr">
        <is>
          <t>2025-06</t>
        </is>
      </c>
      <c r="B173" s="20" t="n">
        <v>7.41</v>
      </c>
      <c r="C173" s="10" t="n">
        <v>8742.799999999999</v>
      </c>
      <c r="D173" s="21">
        <f>B173/$B$5*100</f>
        <v/>
      </c>
      <c r="E173" s="21">
        <f>C173/$C$5*100</f>
        <v/>
      </c>
    </row>
    <row r="174">
      <c r="A174" s="9" t="inlineStr">
        <is>
          <t>2025-07</t>
        </is>
      </c>
      <c r="B174" s="20" t="n">
        <v>7.68</v>
      </c>
      <c r="C174" s="10" t="n">
        <v>8973.1</v>
      </c>
      <c r="D174" s="21">
        <f>B174/$B$5*100</f>
        <v/>
      </c>
      <c r="E174" s="21">
        <f>C174/$C$5*100</f>
        <v/>
      </c>
    </row>
    <row r="175">
      <c r="A175" s="9" t="inlineStr">
        <is>
          <t>2025-08</t>
        </is>
      </c>
      <c r="B175" s="20" t="n">
        <v>7.42</v>
      </c>
      <c r="C175" s="10" t="n">
        <v>8848.799999999999</v>
      </c>
      <c r="D175" s="21">
        <f>B175/$B$5*100</f>
        <v/>
      </c>
      <c r="E175" s="21">
        <f>C175/$C$5*100</f>
        <v/>
      </c>
    </row>
    <row r="176">
      <c r="A176" s="9" t="inlineStr">
        <is>
          <t>2025-09</t>
        </is>
      </c>
      <c r="B176" s="20" t="n">
        <v>7.54</v>
      </c>
      <c r="C176" s="10" t="n">
        <v>8881.9</v>
      </c>
      <c r="D176" s="21">
        <f>B176/$B$5*100</f>
        <v/>
      </c>
      <c r="E176" s="21">
        <f>C176/$C$5*100</f>
        <v/>
      </c>
    </row>
    <row r="177">
      <c r="A177" s="9" t="inlineStr">
        <is>
          <t>2025-10</t>
        </is>
      </c>
      <c r="B177" s="20" t="n">
        <v>7.17</v>
      </c>
      <c r="C177" s="10" t="n">
        <v>8614.1</v>
      </c>
      <c r="D177" s="21">
        <f>B177/$B$5*100</f>
        <v/>
      </c>
      <c r="E177" s="21">
        <f>C177/$C$5*100</f>
        <v/>
      </c>
    </row>
    <row r="178">
      <c r="A178" s="9" t="inlineStr">
        <is>
          <t>2025-11</t>
        </is>
      </c>
      <c r="B178" s="20" t="n">
        <v>6.86</v>
      </c>
      <c r="C178" s="10" t="n">
        <v>8714.299999999999</v>
      </c>
      <c r="D178" s="21">
        <f>B178/$B$5*100</f>
        <v/>
      </c>
      <c r="E178" s="21">
        <f>C178/$C$5*100</f>
        <v/>
      </c>
    </row>
    <row r="179">
      <c r="A179" s="9" t="inlineStr">
        <is>
          <t>2025-12</t>
        </is>
      </c>
      <c r="B179" s="20" t="n">
        <v>6.73</v>
      </c>
      <c r="C179" s="10" t="n">
        <v>8869.1</v>
      </c>
      <c r="D179" s="21">
        <f>B179/$B$5*100</f>
        <v/>
      </c>
      <c r="E179" s="21">
        <f>C179/$C$5*100</f>
        <v/>
      </c>
    </row>
    <row r="180">
      <c r="A180" s="9" t="inlineStr">
        <is>
          <t>2026-01</t>
        </is>
      </c>
      <c r="B180" s="20" t="n">
        <v>6.41</v>
      </c>
      <c r="C180" s="10" t="n">
        <v>9198.6</v>
      </c>
      <c r="D180" s="21">
        <f>B180/$B$5*100</f>
        <v/>
      </c>
      <c r="E180" s="21">
        <f>C180/$C$5*100</f>
        <v/>
      </c>
    </row>
    <row r="181">
      <c r="A181" s="9" t="inlineStr">
        <is>
          <t>2026-02</t>
        </is>
      </c>
      <c r="B181" s="20" t="n">
        <v>6.36</v>
      </c>
      <c r="C181" s="10" t="n">
        <v>8481.799999999999</v>
      </c>
      <c r="D181" s="21">
        <f>B181/$B$5*100</f>
        <v/>
      </c>
      <c r="E181" s="21">
        <f>C181/$C$5*100</f>
        <v/>
      </c>
    </row>
    <row r="182">
      <c r="A182" s="9" t="inlineStr">
        <is>
          <t>2026-03</t>
        </is>
      </c>
      <c r="B182" s="20" t="n">
        <v>6.65</v>
      </c>
      <c r="C182" s="10" t="n">
        <v>8665.799999999999</v>
      </c>
      <c r="D182" s="21">
        <f>B182/$B$5*100</f>
        <v/>
      </c>
      <c r="E182" s="21">
        <f>C182/$C$5*100</f>
        <v/>
      </c>
    </row>
    <row r="183">
      <c r="A183" s="9" t="inlineStr">
        <is>
          <t>2026-04</t>
        </is>
      </c>
      <c r="B183" s="20" t="n">
        <v>6.68</v>
      </c>
      <c r="C183" s="10" t="n">
        <v>8731.700000000001</v>
      </c>
      <c r="D183" s="21">
        <f>B183/$B$5*100</f>
        <v/>
      </c>
      <c r="E183" s="21">
        <f>C183/$C$5*100</f>
        <v/>
      </c>
    </row>
    <row r="184">
      <c r="A184" s="9" t="inlineStr">
        <is>
          <t>2026-05</t>
        </is>
      </c>
      <c r="B184" s="20" t="n">
        <v>6.99</v>
      </c>
      <c r="C184" s="10" t="n">
        <v>8804</v>
      </c>
      <c r="D184" s="21">
        <f>B184/$B$5*100</f>
        <v/>
      </c>
      <c r="E184" s="21">
        <f>C184/$C$5*100</f>
        <v/>
      </c>
    </row>
    <row r="186">
      <c r="A186" s="12" t="inlineStr">
        <is>
          <t>最新 NHF 指數(倍)</t>
        </is>
      </c>
      <c r="B186" s="22">
        <f>D184/100</f>
        <v/>
      </c>
    </row>
    <row r="187">
      <c r="A187" s="12" t="inlineStr">
        <is>
          <t>最新 ASX 指數(倍)</t>
        </is>
      </c>
      <c r="B187" s="23">
        <f>E184/100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</cols>
  <sheetData>
    <row r="1">
      <c r="A1" s="7" t="inlineStr">
        <is>
          <t>nib 承保營運利潤(UOP)與稅後淨利(NPAT)</t>
        </is>
      </c>
    </row>
    <row r="2">
      <c r="A2" s="2" t="inlineStr">
        <is>
          <t>來源:nib Holdings 年報。YoY 為公式。</t>
        </is>
      </c>
    </row>
    <row r="4">
      <c r="A4" s="8" t="inlineStr">
        <is>
          <t>財年</t>
        </is>
      </c>
      <c r="B4" s="8" t="inlineStr">
        <is>
          <t>UOP A$m</t>
        </is>
      </c>
      <c r="C4" s="8" t="inlineStr">
        <is>
          <t>NPAT A$m</t>
        </is>
      </c>
      <c r="D4" s="8" t="inlineStr">
        <is>
          <t>UOP YoY %</t>
        </is>
      </c>
    </row>
    <row r="5">
      <c r="A5" s="9" t="inlineStr">
        <is>
          <t>FY21</t>
        </is>
      </c>
      <c r="B5" s="11" t="n">
        <v>204.9</v>
      </c>
      <c r="C5" s="11" t="n">
        <v>160.5</v>
      </c>
    </row>
    <row r="6">
      <c r="A6" s="9" t="inlineStr">
        <is>
          <t>FY22</t>
        </is>
      </c>
      <c r="B6" s="11" t="n">
        <v>237</v>
      </c>
      <c r="C6" s="9" t="n"/>
      <c r="D6" s="24">
        <f>(B6-B5)/B5*100</f>
        <v/>
      </c>
    </row>
    <row r="7">
      <c r="A7" s="9" t="inlineStr">
        <is>
          <t>FY23</t>
        </is>
      </c>
      <c r="B7" s="11" t="n">
        <v>263.2</v>
      </c>
      <c r="C7" s="11" t="n">
        <v>191.1</v>
      </c>
      <c r="D7" s="24">
        <f>(B7-B6)/B6*100</f>
        <v/>
      </c>
    </row>
    <row r="8">
      <c r="A8" s="9" t="inlineStr">
        <is>
          <t>FY24</t>
        </is>
      </c>
      <c r="B8" s="11" t="n">
        <v>257.5</v>
      </c>
      <c r="C8" s="11" t="n">
        <v>181.6</v>
      </c>
      <c r="D8" s="24">
        <f>(B8-B7)/B7*100</f>
        <v/>
      </c>
    </row>
    <row r="9">
      <c r="A9" s="9" t="inlineStr">
        <is>
          <t>FY25</t>
        </is>
      </c>
      <c r="B9" s="11" t="n">
        <v>239.2</v>
      </c>
      <c r="C9" s="11" t="n">
        <v>198.6</v>
      </c>
      <c r="D9" s="24">
        <f>(B9-B8)/B8*100</f>
        <v/>
      </c>
    </row>
    <row r="11">
      <c r="A11" s="2" t="inlineStr">
        <is>
          <t>FY23 見頂、FY24-25 受理賠通膨回落。FY22 NPAT 未列。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0" customWidth="1" min="5" max="5"/>
    <col width="10" customWidth="1" min="6" max="6"/>
    <col width="8" customWidth="1" min="7" max="7"/>
  </cols>
  <sheetData>
    <row r="1">
      <c r="A1" s="7" t="inlineStr">
        <is>
          <t>差異中之差異(DiD)+ 平行趨勢檢定</t>
        </is>
      </c>
    </row>
    <row r="2">
      <c r="A2" s="2" t="inlineStr">
        <is>
          <t>處理組 25-29(2019/4 起享年齡折扣)vs 對照組 30-34。來源:APRA Membership Trends。</t>
        </is>
      </c>
    </row>
    <row r="4">
      <c r="A4" s="8" t="inlineStr">
        <is>
          <t>季別</t>
        </is>
      </c>
      <c r="B4" s="8" t="inlineStr">
        <is>
          <t>時間序</t>
        </is>
      </c>
      <c r="C4" s="8" t="inlineStr">
        <is>
          <t>處理 25-29</t>
        </is>
      </c>
      <c r="D4" s="8" t="inlineStr">
        <is>
          <t>對照 30-34</t>
        </is>
      </c>
      <c r="E4" s="8" t="inlineStr">
        <is>
          <t>ln(處理)</t>
        </is>
      </c>
      <c r="F4" s="8" t="inlineStr">
        <is>
          <t>ln(對照)</t>
        </is>
      </c>
      <c r="G4" s="8" t="inlineStr">
        <is>
          <t>期間</t>
        </is>
      </c>
    </row>
    <row r="5">
      <c r="A5" s="9" t="inlineStr">
        <is>
          <t>2016 Q1</t>
        </is>
      </c>
      <c r="B5" s="9" t="n">
        <v>1</v>
      </c>
      <c r="C5" s="10" t="n">
        <v>537755</v>
      </c>
      <c r="D5" s="10" t="n">
        <v>804004</v>
      </c>
      <c r="E5" s="25">
        <f>LN(C5)</f>
        <v/>
      </c>
      <c r="F5" s="25">
        <f>LN(D5)</f>
        <v/>
      </c>
      <c r="G5" s="9" t="inlineStr"/>
    </row>
    <row r="6">
      <c r="A6" s="9" t="inlineStr">
        <is>
          <t>2016 Q2</t>
        </is>
      </c>
      <c r="B6" s="9" t="n">
        <v>2</v>
      </c>
      <c r="C6" s="10" t="n">
        <v>534164</v>
      </c>
      <c r="D6" s="10" t="n">
        <v>810996</v>
      </c>
      <c r="E6" s="25">
        <f>LN(C6)</f>
        <v/>
      </c>
      <c r="F6" s="25">
        <f>LN(D6)</f>
        <v/>
      </c>
      <c r="G6" s="9" t="inlineStr"/>
    </row>
    <row r="7">
      <c r="A7" s="9" t="inlineStr">
        <is>
          <t>2016 Q3</t>
        </is>
      </c>
      <c r="B7" s="9" t="n">
        <v>3</v>
      </c>
      <c r="C7" s="10" t="n">
        <v>526786</v>
      </c>
      <c r="D7" s="10" t="n">
        <v>805490</v>
      </c>
      <c r="E7" s="25">
        <f>LN(C7)</f>
        <v/>
      </c>
      <c r="F7" s="25">
        <f>LN(D7)</f>
        <v/>
      </c>
      <c r="G7" s="9" t="inlineStr"/>
    </row>
    <row r="8">
      <c r="A8" s="9" t="inlineStr">
        <is>
          <t>2016 Q4</t>
        </is>
      </c>
      <c r="B8" s="9" t="n">
        <v>4</v>
      </c>
      <c r="C8" s="10" t="n">
        <v>517206</v>
      </c>
      <c r="D8" s="10" t="n">
        <v>796590</v>
      </c>
      <c r="E8" s="25">
        <f>LN(C8)</f>
        <v/>
      </c>
      <c r="F8" s="25">
        <f>LN(D8)</f>
        <v/>
      </c>
      <c r="G8" s="9" t="inlineStr"/>
    </row>
    <row r="9">
      <c r="A9" s="9" t="inlineStr">
        <is>
          <t>2017 Q1</t>
        </is>
      </c>
      <c r="B9" s="9" t="n">
        <v>5</v>
      </c>
      <c r="C9" s="10" t="n">
        <v>513195</v>
      </c>
      <c r="D9" s="10" t="n">
        <v>791013</v>
      </c>
      <c r="E9" s="25">
        <f>LN(C9)</f>
        <v/>
      </c>
      <c r="F9" s="25">
        <f>LN(D9)</f>
        <v/>
      </c>
      <c r="G9" s="26" t="inlineStr">
        <is>
          <t>pre</t>
        </is>
      </c>
    </row>
    <row r="10">
      <c r="A10" s="9" t="inlineStr">
        <is>
          <t>2017 Q2</t>
        </is>
      </c>
      <c r="B10" s="9" t="n">
        <v>6</v>
      </c>
      <c r="C10" s="10" t="n">
        <v>505443</v>
      </c>
      <c r="D10" s="10" t="n">
        <v>795777</v>
      </c>
      <c r="E10" s="25">
        <f>LN(C10)</f>
        <v/>
      </c>
      <c r="F10" s="25">
        <f>LN(D10)</f>
        <v/>
      </c>
      <c r="G10" s="26" t="inlineStr">
        <is>
          <t>pre</t>
        </is>
      </c>
    </row>
    <row r="11">
      <c r="A11" s="9" t="inlineStr">
        <is>
          <t>2017 Q3</t>
        </is>
      </c>
      <c r="B11" s="9" t="n">
        <v>7</v>
      </c>
      <c r="C11" s="10" t="n">
        <v>498656</v>
      </c>
      <c r="D11" s="10" t="n">
        <v>788055</v>
      </c>
      <c r="E11" s="25">
        <f>LN(C11)</f>
        <v/>
      </c>
      <c r="F11" s="25">
        <f>LN(D11)</f>
        <v/>
      </c>
      <c r="G11" s="26" t="inlineStr">
        <is>
          <t>pre</t>
        </is>
      </c>
    </row>
    <row r="12">
      <c r="A12" s="9" t="inlineStr">
        <is>
          <t>2017 Q4</t>
        </is>
      </c>
      <c r="B12" s="9" t="n">
        <v>8</v>
      </c>
      <c r="C12" s="10" t="n">
        <v>489670</v>
      </c>
      <c r="D12" s="10" t="n">
        <v>777550</v>
      </c>
      <c r="E12" s="25">
        <f>LN(C12)</f>
        <v/>
      </c>
      <c r="F12" s="25">
        <f>LN(D12)</f>
        <v/>
      </c>
      <c r="G12" s="26" t="inlineStr">
        <is>
          <t>pre</t>
        </is>
      </c>
    </row>
    <row r="13">
      <c r="A13" s="9" t="inlineStr">
        <is>
          <t>2018 Q1</t>
        </is>
      </c>
      <c r="B13" s="9" t="n">
        <v>9</v>
      </c>
      <c r="C13" s="10" t="n">
        <v>482842</v>
      </c>
      <c r="D13" s="10" t="n">
        <v>770876</v>
      </c>
      <c r="E13" s="25">
        <f>LN(C13)</f>
        <v/>
      </c>
      <c r="F13" s="25">
        <f>LN(D13)</f>
        <v/>
      </c>
      <c r="G13" s="26" t="inlineStr">
        <is>
          <t>pre</t>
        </is>
      </c>
    </row>
    <row r="14">
      <c r="A14" s="9" t="inlineStr">
        <is>
          <t>2018 Q2</t>
        </is>
      </c>
      <c r="B14" s="9" t="n">
        <v>10</v>
      </c>
      <c r="C14" s="10" t="n">
        <v>473223</v>
      </c>
      <c r="D14" s="10" t="n">
        <v>767616</v>
      </c>
      <c r="E14" s="25">
        <f>LN(C14)</f>
        <v/>
      </c>
      <c r="F14" s="25">
        <f>LN(D14)</f>
        <v/>
      </c>
      <c r="G14" s="26" t="inlineStr">
        <is>
          <t>pre</t>
        </is>
      </c>
    </row>
    <row r="15">
      <c r="A15" s="9" t="inlineStr">
        <is>
          <t>2018 Q3</t>
        </is>
      </c>
      <c r="B15" s="9" t="n">
        <v>11</v>
      </c>
      <c r="C15" s="10" t="n">
        <v>466143</v>
      </c>
      <c r="D15" s="10" t="n">
        <v>759137</v>
      </c>
      <c r="E15" s="25">
        <f>LN(C15)</f>
        <v/>
      </c>
      <c r="F15" s="25">
        <f>LN(D15)</f>
        <v/>
      </c>
      <c r="G15" s="26" t="inlineStr">
        <is>
          <t>pre</t>
        </is>
      </c>
    </row>
    <row r="16">
      <c r="A16" s="9" t="inlineStr">
        <is>
          <t>2018 Q4</t>
        </is>
      </c>
      <c r="B16" s="9" t="n">
        <v>12</v>
      </c>
      <c r="C16" s="10" t="n">
        <v>455695</v>
      </c>
      <c r="D16" s="10" t="n">
        <v>749840</v>
      </c>
      <c r="E16" s="25">
        <f>LN(C16)</f>
        <v/>
      </c>
      <c r="F16" s="25">
        <f>LN(D16)</f>
        <v/>
      </c>
      <c r="G16" s="26" t="inlineStr">
        <is>
          <t>pre</t>
        </is>
      </c>
    </row>
    <row r="17">
      <c r="A17" s="9" t="inlineStr">
        <is>
          <t>2019 Q1</t>
        </is>
      </c>
      <c r="B17" s="9" t="n">
        <v>13</v>
      </c>
      <c r="C17" s="10" t="n">
        <v>452439</v>
      </c>
      <c r="D17" s="10" t="n">
        <v>742456</v>
      </c>
      <c r="E17" s="25">
        <f>LN(C17)</f>
        <v/>
      </c>
      <c r="F17" s="25">
        <f>LN(D17)</f>
        <v/>
      </c>
      <c r="G17" s="26" t="inlineStr">
        <is>
          <t>pre</t>
        </is>
      </c>
    </row>
    <row r="18">
      <c r="A18" s="9" t="inlineStr">
        <is>
          <t>2019 Q2</t>
        </is>
      </c>
      <c r="B18" s="9" t="n">
        <v>14</v>
      </c>
      <c r="C18" s="10" t="n">
        <v>445450</v>
      </c>
      <c r="D18" s="10" t="n">
        <v>741842</v>
      </c>
      <c r="E18" s="25">
        <f>LN(C18)</f>
        <v/>
      </c>
      <c r="F18" s="25">
        <f>LN(D18)</f>
        <v/>
      </c>
      <c r="G18" s="26" t="inlineStr">
        <is>
          <t>post</t>
        </is>
      </c>
    </row>
    <row r="19">
      <c r="A19" s="9" t="inlineStr">
        <is>
          <t>2019 Q3</t>
        </is>
      </c>
      <c r="B19" s="9" t="n">
        <v>15</v>
      </c>
      <c r="C19" s="10" t="n">
        <v>441954</v>
      </c>
      <c r="D19" s="10" t="n">
        <v>737357</v>
      </c>
      <c r="E19" s="25">
        <f>LN(C19)</f>
        <v/>
      </c>
      <c r="F19" s="25">
        <f>LN(D19)</f>
        <v/>
      </c>
      <c r="G19" s="26" t="inlineStr">
        <is>
          <t>post</t>
        </is>
      </c>
    </row>
    <row r="20">
      <c r="A20" s="9" t="inlineStr">
        <is>
          <t>2019 Q4</t>
        </is>
      </c>
      <c r="B20" s="9" t="n">
        <v>16</v>
      </c>
      <c r="C20" s="10" t="n">
        <v>434270</v>
      </c>
      <c r="D20" s="10" t="n">
        <v>727043</v>
      </c>
      <c r="E20" s="25">
        <f>LN(C20)</f>
        <v/>
      </c>
      <c r="F20" s="25">
        <f>LN(D20)</f>
        <v/>
      </c>
      <c r="G20" s="26" t="inlineStr">
        <is>
          <t>post</t>
        </is>
      </c>
    </row>
    <row r="22">
      <c r="A22" s="3" t="inlineStr">
        <is>
          <t>2×2 DiD(對 ln 投保人數取平均)</t>
        </is>
      </c>
    </row>
    <row r="23">
      <c r="A23" s="12" t="inlineStr">
        <is>
          <t>處理組 pre 均值</t>
        </is>
      </c>
      <c r="B23" s="27">
        <f>AVERAGE(E9:E17)</f>
        <v/>
      </c>
    </row>
    <row r="24">
      <c r="A24" s="12" t="inlineStr">
        <is>
          <t>處理組 post 均值</t>
        </is>
      </c>
      <c r="B24" s="27">
        <f>AVERAGE(E18:E20)</f>
        <v/>
      </c>
    </row>
    <row r="25">
      <c r="A25" s="12" t="inlineStr">
        <is>
          <t>對照組 pre 均值</t>
        </is>
      </c>
      <c r="B25" s="27">
        <f>AVERAGE(F9:F17)</f>
        <v/>
      </c>
    </row>
    <row r="26">
      <c r="A26" s="12" t="inlineStr">
        <is>
          <t>對照組 post 均值</t>
        </is>
      </c>
      <c r="B26" s="27">
        <f>AVERAGE(F18:F20)</f>
        <v/>
      </c>
    </row>
    <row r="27">
      <c r="A27" s="12" t="inlineStr">
        <is>
          <t>Δln 處理(post-pre)</t>
        </is>
      </c>
      <c r="B27" s="28">
        <f>B24-B23</f>
        <v/>
      </c>
    </row>
    <row r="28">
      <c r="A28" s="12" t="inlineStr">
        <is>
          <t>Δln 對照(post-pre)</t>
        </is>
      </c>
      <c r="B28" s="28">
        <f>B26-B25</f>
        <v/>
      </c>
    </row>
    <row r="29">
      <c r="A29" s="29" t="inlineStr">
        <is>
          <t>DiD = Δ處理 − Δ對照</t>
        </is>
      </c>
      <c r="B29" s="30">
        <f>B27-B28</f>
        <v/>
      </c>
      <c r="C29" s="29" t="inlineStr">
        <is>
          <t>≈ %</t>
        </is>
      </c>
      <c r="D29" s="31">
        <f>B29*100</f>
        <v/>
      </c>
    </row>
    <row r="31">
      <c r="A31" s="3" t="inlineStr">
        <is>
          <t>平行趨勢檢定(政策前 2016Q1-2019Q1,ln 對時間序回歸的斜率)</t>
        </is>
      </c>
    </row>
    <row r="32">
      <c r="A32" s="12" t="inlineStr">
        <is>
          <t>處理 25-29 每季成長 %</t>
        </is>
      </c>
      <c r="B32" s="32">
        <f>SLOPE(E5:E17,B5:B17)*100</f>
        <v/>
      </c>
    </row>
    <row r="33">
      <c r="A33" s="12" t="inlineStr">
        <is>
          <t>對照 30-34 每季成長 %</t>
        </is>
      </c>
      <c r="B33" s="33">
        <f>SLOPE(F5:F17,B5:B17)*100</f>
        <v/>
      </c>
    </row>
    <row r="34">
      <c r="A34" s="12" t="inlineStr">
        <is>
          <t>差距(百分點/季)</t>
        </is>
      </c>
      <c r="B34" s="32">
        <f>B32-B33</f>
        <v/>
      </c>
    </row>
    <row r="35">
      <c r="A35" s="2" t="inlineStr">
        <is>
          <t>差距大 → 平行趨勢不成立 → 上面的 DiD 不能解讀為因果。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" customWidth="1" min="4" max="4"/>
    <col width="6" customWidth="1" min="5" max="5"/>
    <col width="6" customWidth="1" min="6" max="6"/>
    <col width="6" customWidth="1" min="7" max="7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7" t="inlineStr">
        <is>
          <t>會員成長率的季節性:多元回歸(成長率 ~ Q2 + Q3 + Q4)</t>
        </is>
      </c>
    </row>
    <row r="2">
      <c r="A2" s="2" t="inlineStr">
        <is>
          <t>來源:APRA Membership Trends 總投保人數。成長率/虛擬變數/回歸統計皆為公式。</t>
        </is>
      </c>
    </row>
    <row r="4">
      <c r="A4" s="8" t="inlineStr">
        <is>
          <t>季別</t>
        </is>
      </c>
      <c r="B4" s="8" t="inlineStr">
        <is>
          <t>時間序</t>
        </is>
      </c>
      <c r="C4" s="8" t="inlineStr">
        <is>
          <t>投保總人數</t>
        </is>
      </c>
      <c r="D4" s="8" t="inlineStr">
        <is>
          <t>QoQ 成長 %</t>
        </is>
      </c>
      <c r="E4" s="8" t="inlineStr">
        <is>
          <t>Q2</t>
        </is>
      </c>
      <c r="F4" s="8" t="inlineStr">
        <is>
          <t>Q3</t>
        </is>
      </c>
      <c r="G4" s="8" t="inlineStr">
        <is>
          <t>Q4</t>
        </is>
      </c>
      <c r="I4" s="3" t="inlineStr">
        <is>
          <t>回歸輸出(LINEST)</t>
        </is>
      </c>
    </row>
    <row r="5">
      <c r="A5" s="9" t="inlineStr">
        <is>
          <t>2010 Q1</t>
        </is>
      </c>
      <c r="B5" s="9" t="n">
        <v>1</v>
      </c>
      <c r="C5" s="10" t="n">
        <v>9912887</v>
      </c>
      <c r="E5" s="9">
        <f>IF(A5="","",IF(RIGHT(A5,2)="Q2",1,0))</f>
        <v/>
      </c>
      <c r="F5" s="9">
        <f>IF(RIGHT(A5,2)="Q3",1,0)</f>
        <v/>
      </c>
      <c r="G5" s="9">
        <f>IF(RIGHT(A5,2)="Q4",1,0)</f>
        <v/>
      </c>
      <c r="I5" s="12" t="inlineStr">
        <is>
          <t>樣本數 n</t>
        </is>
      </c>
      <c r="J5" s="34">
        <f>COUNT(D6:D69)</f>
        <v/>
      </c>
    </row>
    <row r="6">
      <c r="A6" s="9" t="inlineStr">
        <is>
          <t>2010 Q2</t>
        </is>
      </c>
      <c r="B6" s="9" t="n">
        <v>2</v>
      </c>
      <c r="C6" s="10" t="n">
        <v>9973864</v>
      </c>
      <c r="D6" s="35">
        <f>(C6-C5)/C5*100</f>
        <v/>
      </c>
      <c r="E6" s="9">
        <f>IF(A6="","",IF(RIGHT(A6,2)="Q2",1,0))</f>
        <v/>
      </c>
      <c r="F6" s="9">
        <f>IF(RIGHT(A6,2)="Q3",1,0)</f>
        <v/>
      </c>
      <c r="G6" s="9">
        <f>IF(RIGHT(A6,2)="Q4",1,0)</f>
        <v/>
      </c>
      <c r="I6" s="12" t="inlineStr">
        <is>
          <t>基準 = Q1 平均成長 %</t>
        </is>
      </c>
      <c r="J6" s="36">
        <f>INDEX(LINEST(D6:D69,E6:G69,TRUE,TRUE),1,4)</f>
        <v/>
      </c>
    </row>
    <row r="7">
      <c r="A7" s="9" t="inlineStr">
        <is>
          <t>2010 Q3</t>
        </is>
      </c>
      <c r="B7" s="9" t="n">
        <v>3</v>
      </c>
      <c r="C7" s="10" t="n">
        <v>10064043</v>
      </c>
      <c r="D7" s="35">
        <f>(C7-C6)/C6*100</f>
        <v/>
      </c>
      <c r="E7" s="9">
        <f>IF(A7="","",IF(RIGHT(A7,2)="Q2",1,0))</f>
        <v/>
      </c>
      <c r="F7" s="9">
        <f>IF(RIGHT(A7,2)="Q3",1,0)</f>
        <v/>
      </c>
      <c r="G7" s="9">
        <f>IF(RIGHT(A7,2)="Q4",1,0)</f>
        <v/>
      </c>
      <c r="I7" s="12" t="inlineStr">
        <is>
          <t>Q2 係數</t>
        </is>
      </c>
      <c r="J7" s="36">
        <f>INDEX(LINEST(D6:D69,E6:G69,TRUE,TRUE),1,3)</f>
        <v/>
      </c>
    </row>
    <row r="8">
      <c r="A8" s="9" t="inlineStr">
        <is>
          <t>2010 Q4</t>
        </is>
      </c>
      <c r="B8" s="9" t="n">
        <v>4</v>
      </c>
      <c r="C8" s="10" t="n">
        <v>10117522</v>
      </c>
      <c r="D8" s="35">
        <f>(C8-C7)/C7*100</f>
        <v/>
      </c>
      <c r="E8" s="9">
        <f>IF(A8="","",IF(RIGHT(A8,2)="Q2",1,0))</f>
        <v/>
      </c>
      <c r="F8" s="9">
        <f>IF(RIGHT(A8,2)="Q3",1,0)</f>
        <v/>
      </c>
      <c r="G8" s="9">
        <f>IF(RIGHT(A8,2)="Q4",1,0)</f>
        <v/>
      </c>
      <c r="I8" s="12" t="inlineStr">
        <is>
          <t>Q3 係數</t>
        </is>
      </c>
      <c r="J8" s="36">
        <f>INDEX(LINEST(D6:D69,E6:G69,TRUE,TRUE),1,2)</f>
        <v/>
      </c>
    </row>
    <row r="9">
      <c r="A9" s="9" t="inlineStr">
        <is>
          <t>2011 Q1</t>
        </is>
      </c>
      <c r="B9" s="9" t="n">
        <v>5</v>
      </c>
      <c r="C9" s="10" t="n">
        <v>10168295</v>
      </c>
      <c r="D9" s="35">
        <f>(C9-C8)/C8*100</f>
        <v/>
      </c>
      <c r="E9" s="9">
        <f>IF(A9="","",IF(RIGHT(A9,2)="Q2",1,0))</f>
        <v/>
      </c>
      <c r="F9" s="9">
        <f>IF(RIGHT(A9,2)="Q3",1,0)</f>
        <v/>
      </c>
      <c r="G9" s="9">
        <f>IF(RIGHT(A9,2)="Q4",1,0)</f>
        <v/>
      </c>
      <c r="I9" s="12" t="inlineStr">
        <is>
          <t>Q4 係數</t>
        </is>
      </c>
      <c r="J9" s="36">
        <f>INDEX(LINEST(D6:D69,E6:G69,TRUE,TRUE),1,1)</f>
        <v/>
      </c>
    </row>
    <row r="10">
      <c r="A10" s="9" t="inlineStr">
        <is>
          <t>2011 Q2</t>
        </is>
      </c>
      <c r="B10" s="9" t="n">
        <v>6</v>
      </c>
      <c r="C10" s="10" t="n">
        <v>10255675</v>
      </c>
      <c r="D10" s="35">
        <f>(C10-C9)/C9*100</f>
        <v/>
      </c>
      <c r="E10" s="9">
        <f>IF(A10="","",IF(RIGHT(A10,2)="Q2",1,0))</f>
        <v/>
      </c>
      <c r="F10" s="9">
        <f>IF(RIGHT(A10,2)="Q3",1,0)</f>
        <v/>
      </c>
      <c r="G10" s="9">
        <f>IF(RIGHT(A10,2)="Q4",1,0)</f>
        <v/>
      </c>
      <c r="I10" s="12" t="inlineStr">
        <is>
          <t>Q2 標準誤</t>
        </is>
      </c>
      <c r="J10" s="37">
        <f>INDEX(LINEST(D6:D69,E6:G69,TRUE,TRUE),2,3)</f>
        <v/>
      </c>
    </row>
    <row r="11">
      <c r="A11" s="9" t="inlineStr">
        <is>
          <t>2011 Q3</t>
        </is>
      </c>
      <c r="B11" s="9" t="n">
        <v>7</v>
      </c>
      <c r="C11" s="10" t="n">
        <v>10353096</v>
      </c>
      <c r="D11" s="35">
        <f>(C11-C10)/C10*100</f>
        <v/>
      </c>
      <c r="E11" s="9">
        <f>IF(A11="","",IF(RIGHT(A11,2)="Q2",1,0))</f>
        <v/>
      </c>
      <c r="F11" s="9">
        <f>IF(RIGHT(A11,2)="Q3",1,0)</f>
        <v/>
      </c>
      <c r="G11" s="9">
        <f>IF(RIGHT(A11,2)="Q4",1,0)</f>
        <v/>
      </c>
      <c r="I11" s="12" t="inlineStr">
        <is>
          <t>Q3 標準誤</t>
        </is>
      </c>
      <c r="J11" s="37">
        <f>INDEX(LINEST(D6:D69,E6:G69,TRUE,TRUE),2,2)</f>
        <v/>
      </c>
    </row>
    <row r="12">
      <c r="A12" s="9" t="inlineStr">
        <is>
          <t>2011 Q4</t>
        </is>
      </c>
      <c r="B12" s="9" t="n">
        <v>8</v>
      </c>
      <c r="C12" s="10" t="n">
        <v>10403680</v>
      </c>
      <c r="D12" s="35">
        <f>(C12-C11)/C11*100</f>
        <v/>
      </c>
      <c r="E12" s="9">
        <f>IF(A12="","",IF(RIGHT(A12,2)="Q2",1,0))</f>
        <v/>
      </c>
      <c r="F12" s="9">
        <f>IF(RIGHT(A12,2)="Q3",1,0)</f>
        <v/>
      </c>
      <c r="G12" s="9">
        <f>IF(RIGHT(A12,2)="Q4",1,0)</f>
        <v/>
      </c>
      <c r="I12" s="12" t="inlineStr">
        <is>
          <t>Q4 標準誤</t>
        </is>
      </c>
      <c r="J12" s="37">
        <f>INDEX(LINEST(D6:D69,E6:G69,TRUE,TRUE),2,1)</f>
        <v/>
      </c>
    </row>
    <row r="13">
      <c r="A13" s="9" t="inlineStr">
        <is>
          <t>2012 Q1</t>
        </is>
      </c>
      <c r="B13" s="9" t="n">
        <v>9</v>
      </c>
      <c r="C13" s="10" t="n">
        <v>10455462</v>
      </c>
      <c r="D13" s="35">
        <f>(C13-C12)/C12*100</f>
        <v/>
      </c>
      <c r="E13" s="9">
        <f>IF(A13="","",IF(RIGHT(A13,2)="Q2",1,0))</f>
        <v/>
      </c>
      <c r="F13" s="9">
        <f>IF(RIGHT(A13,2)="Q3",1,0)</f>
        <v/>
      </c>
      <c r="G13" s="9">
        <f>IF(RIGHT(A13,2)="Q4",1,0)</f>
        <v/>
      </c>
      <c r="I13" s="12" t="inlineStr">
        <is>
          <t>R²</t>
        </is>
      </c>
      <c r="J13" s="37">
        <f>INDEX(LINEST(D6:D69,E6:G69,TRUE,TRUE),3,1)</f>
        <v/>
      </c>
    </row>
    <row r="14">
      <c r="A14" s="9" t="inlineStr">
        <is>
          <t>2012 Q2</t>
        </is>
      </c>
      <c r="B14" s="9" t="n">
        <v>10</v>
      </c>
      <c r="C14" s="10" t="n">
        <v>10587828</v>
      </c>
      <c r="D14" s="35">
        <f>(C14-C13)/C13*100</f>
        <v/>
      </c>
      <c r="E14" s="9">
        <f>IF(A14="","",IF(RIGHT(A14,2)="Q2",1,0))</f>
        <v/>
      </c>
      <c r="F14" s="9">
        <f>IF(RIGHT(A14,2)="Q3",1,0)</f>
        <v/>
      </c>
      <c r="G14" s="9">
        <f>IF(RIGHT(A14,2)="Q4",1,0)</f>
        <v/>
      </c>
      <c r="I14" s="12" t="inlineStr">
        <is>
          <t>F 統計量</t>
        </is>
      </c>
      <c r="J14" s="37">
        <f>INDEX(LINEST(D6:D69,E6:G69,TRUE,TRUE),4,1)</f>
        <v/>
      </c>
    </row>
    <row r="15">
      <c r="A15" s="9" t="inlineStr">
        <is>
          <t>2012 Q3</t>
        </is>
      </c>
      <c r="B15" s="9" t="n">
        <v>11</v>
      </c>
      <c r="C15" s="10" t="n">
        <v>10670956</v>
      </c>
      <c r="D15" s="35">
        <f>(C15-C14)/C14*100</f>
        <v/>
      </c>
      <c r="E15" s="9">
        <f>IF(A15="","",IF(RIGHT(A15,2)="Q2",1,0))</f>
        <v/>
      </c>
      <c r="F15" s="9">
        <f>IF(RIGHT(A15,2)="Q3",1,0)</f>
        <v/>
      </c>
      <c r="G15" s="9">
        <f>IF(RIGHT(A15,2)="Q4",1,0)</f>
        <v/>
      </c>
      <c r="I15" s="12" t="inlineStr">
        <is>
          <t>殘差自由度 df</t>
        </is>
      </c>
      <c r="J15" s="34">
        <f>INDEX(LINEST(D6:D69,E6:G69,TRUE,TRUE),4,2)</f>
        <v/>
      </c>
    </row>
    <row r="16">
      <c r="A16" s="9" t="inlineStr">
        <is>
          <t>2012 Q4</t>
        </is>
      </c>
      <c r="B16" s="9" t="n">
        <v>12</v>
      </c>
      <c r="C16" s="10" t="n">
        <v>10710319</v>
      </c>
      <c r="D16" s="35">
        <f>(C16-C15)/C15*100</f>
        <v/>
      </c>
      <c r="E16" s="9">
        <f>IF(A16="","",IF(RIGHT(A16,2)="Q2",1,0))</f>
        <v/>
      </c>
      <c r="F16" s="9">
        <f>IF(RIGHT(A16,2)="Q3",1,0)</f>
        <v/>
      </c>
      <c r="G16" s="9">
        <f>IF(RIGHT(A16,2)="Q4",1,0)</f>
        <v/>
      </c>
      <c r="I16" s="12" t="inlineStr">
        <is>
          <t>Q2 p 值</t>
        </is>
      </c>
      <c r="J16" s="38">
        <f>TDIST(ABS(J7/J10),J15,2)</f>
        <v/>
      </c>
    </row>
    <row r="17">
      <c r="A17" s="9" t="inlineStr">
        <is>
          <t>2013 Q1</t>
        </is>
      </c>
      <c r="B17" s="9" t="n">
        <v>13</v>
      </c>
      <c r="C17" s="10" t="n">
        <v>10763182</v>
      </c>
      <c r="D17" s="35">
        <f>(C17-C16)/C16*100</f>
        <v/>
      </c>
      <c r="E17" s="9">
        <f>IF(A17="","",IF(RIGHT(A17,2)="Q2",1,0))</f>
        <v/>
      </c>
      <c r="F17" s="9">
        <f>IF(RIGHT(A17,2)="Q3",1,0)</f>
        <v/>
      </c>
      <c r="G17" s="9">
        <f>IF(RIGHT(A17,2)="Q4",1,0)</f>
        <v/>
      </c>
      <c r="I17" s="12" t="inlineStr">
        <is>
          <t>Q3 p 值</t>
        </is>
      </c>
      <c r="J17" s="38">
        <f>TDIST(ABS(J8/J11),J15,2)</f>
        <v/>
      </c>
    </row>
    <row r="18">
      <c r="A18" s="9" t="inlineStr">
        <is>
          <t>2013 Q2</t>
        </is>
      </c>
      <c r="B18" s="9" t="n">
        <v>14</v>
      </c>
      <c r="C18" s="10" t="n">
        <v>10850227</v>
      </c>
      <c r="D18" s="35">
        <f>(C18-C17)/C17*100</f>
        <v/>
      </c>
      <c r="E18" s="9">
        <f>IF(A18="","",IF(RIGHT(A18,2)="Q2",1,0))</f>
        <v/>
      </c>
      <c r="F18" s="9">
        <f>IF(RIGHT(A18,2)="Q3",1,0)</f>
        <v/>
      </c>
      <c r="G18" s="9">
        <f>IF(RIGHT(A18,2)="Q4",1,0)</f>
        <v/>
      </c>
      <c r="I18" s="12" t="inlineStr">
        <is>
          <t>Q4 p 值</t>
        </is>
      </c>
      <c r="J18" s="38">
        <f>TDIST(ABS(J9/J12),J15,2)</f>
        <v/>
      </c>
    </row>
    <row r="19">
      <c r="A19" s="9" t="inlineStr">
        <is>
          <t>2013 Q3</t>
        </is>
      </c>
      <c r="B19" s="9" t="n">
        <v>15</v>
      </c>
      <c r="C19" s="10" t="n">
        <v>10926523</v>
      </c>
      <c r="D19" s="35">
        <f>(C19-C18)/C18*100</f>
        <v/>
      </c>
      <c r="E19" s="9">
        <f>IF(A19="","",IF(RIGHT(A19,2)="Q2",1,0))</f>
        <v/>
      </c>
      <c r="F19" s="9">
        <f>IF(RIGHT(A19,2)="Q3",1,0)</f>
        <v/>
      </c>
      <c r="G19" s="9">
        <f>IF(RIGHT(A19,2)="Q4",1,0)</f>
        <v/>
      </c>
      <c r="I19" s="12" t="inlineStr">
        <is>
          <t>整體 F 檢定 p 值</t>
        </is>
      </c>
      <c r="J19" s="38">
        <f>FDIST(J14,3,J15)</f>
        <v/>
      </c>
    </row>
    <row r="20">
      <c r="A20" s="9" t="inlineStr">
        <is>
          <t>2013 Q4</t>
        </is>
      </c>
      <c r="B20" s="9" t="n">
        <v>16</v>
      </c>
      <c r="C20" s="10" t="n">
        <v>10958428</v>
      </c>
      <c r="D20" s="35">
        <f>(C20-C19)/C19*100</f>
        <v/>
      </c>
      <c r="E20" s="9">
        <f>IF(A20="","",IF(RIGHT(A20,2)="Q2",1,0))</f>
        <v/>
      </c>
      <c r="F20" s="9">
        <f>IF(RIGHT(A20,2)="Q3",1,0)</f>
        <v/>
      </c>
      <c r="G20" s="9">
        <f>IF(RIGHT(A20,2)="Q4",1,0)</f>
        <v/>
      </c>
    </row>
    <row r="21">
      <c r="A21" s="9" t="inlineStr">
        <is>
          <t>2014 Q1</t>
        </is>
      </c>
      <c r="B21" s="9" t="n">
        <v>17</v>
      </c>
      <c r="C21" s="10" t="n">
        <v>11004273</v>
      </c>
      <c r="D21" s="35">
        <f>(C21-C20)/C20*100</f>
        <v/>
      </c>
      <c r="E21" s="9">
        <f>IF(A21="","",IF(RIGHT(A21,2)="Q2",1,0))</f>
        <v/>
      </c>
      <c r="F21" s="9">
        <f>IF(RIGHT(A21,2)="Q3",1,0)</f>
        <v/>
      </c>
      <c r="G21" s="9">
        <f>IF(RIGHT(A21,2)="Q4",1,0)</f>
        <v/>
      </c>
      <c r="I21" s="3" t="inlineStr">
        <is>
          <t>簡單線性趨勢線(對時間序)</t>
        </is>
      </c>
    </row>
    <row r="22">
      <c r="A22" s="9" t="inlineStr">
        <is>
          <t>2014 Q2</t>
        </is>
      </c>
      <c r="B22" s="9" t="n">
        <v>18</v>
      </c>
      <c r="C22" s="10" t="n">
        <v>11091439</v>
      </c>
      <c r="D22" s="35">
        <f>(C22-C21)/C21*100</f>
        <v/>
      </c>
      <c r="E22" s="9">
        <f>IF(A22="","",IF(RIGHT(A22,2)="Q2",1,0))</f>
        <v/>
      </c>
      <c r="F22" s="9">
        <f>IF(RIGHT(A22,2)="Q3",1,0)</f>
        <v/>
      </c>
      <c r="G22" s="9">
        <f>IF(RIGHT(A22,2)="Q4",1,0)</f>
        <v/>
      </c>
      <c r="I22" s="12" t="inlineStr">
        <is>
          <t>R²(趨勢線)</t>
        </is>
      </c>
      <c r="J22" s="39">
        <f>RSQ(D6:D69,B6:B69)</f>
        <v/>
      </c>
    </row>
    <row r="23">
      <c r="A23" s="9" t="inlineStr">
        <is>
          <t>2014 Q3</t>
        </is>
      </c>
      <c r="B23" s="9" t="n">
        <v>19</v>
      </c>
      <c r="C23" s="10" t="n">
        <v>11152243</v>
      </c>
      <c r="D23" s="35">
        <f>(C23-C22)/C22*100</f>
        <v/>
      </c>
      <c r="E23" s="9">
        <f>IF(A23="","",IF(RIGHT(A23,2)="Q2",1,0))</f>
        <v/>
      </c>
      <c r="F23" s="9">
        <f>IF(RIGHT(A23,2)="Q3",1,0)</f>
        <v/>
      </c>
      <c r="G23" s="9">
        <f>IF(RIGHT(A23,2)="Q4",1,0)</f>
        <v/>
      </c>
      <c r="I23" s="12" t="inlineStr">
        <is>
          <t>成長率平均 %</t>
        </is>
      </c>
      <c r="J23" s="40">
        <f>AVERAGE(D6:D69)</f>
        <v/>
      </c>
    </row>
    <row r="24">
      <c r="A24" s="9" t="inlineStr">
        <is>
          <t>2014 Q4</t>
        </is>
      </c>
      <c r="B24" s="9" t="n">
        <v>20</v>
      </c>
      <c r="C24" s="10" t="n">
        <v>11180711</v>
      </c>
      <c r="D24" s="35">
        <f>(C24-C23)/C23*100</f>
        <v/>
      </c>
      <c r="E24" s="9">
        <f>IF(A24="","",IF(RIGHT(A24,2)="Q2",1,0))</f>
        <v/>
      </c>
      <c r="F24" s="9">
        <f>IF(RIGHT(A24,2)="Q3",1,0)</f>
        <v/>
      </c>
      <c r="G24" s="9">
        <f>IF(RIGHT(A24,2)="Q4",1,0)</f>
        <v/>
      </c>
      <c r="I24" s="12" t="inlineStr">
        <is>
          <t>成長率標準差 %</t>
        </is>
      </c>
      <c r="J24" s="40">
        <f>STDEV(D6:D69)</f>
        <v/>
      </c>
    </row>
    <row r="25">
      <c r="A25" s="9" t="inlineStr">
        <is>
          <t>2015 Q1</t>
        </is>
      </c>
      <c r="B25" s="9" t="n">
        <v>21</v>
      </c>
      <c r="C25" s="10" t="n">
        <v>11229284</v>
      </c>
      <c r="D25" s="35">
        <f>(C25-C24)/C24*100</f>
        <v/>
      </c>
      <c r="E25" s="9">
        <f>IF(A25="","",IF(RIGHT(A25,2)="Q2",1,0))</f>
        <v/>
      </c>
      <c r="F25" s="9">
        <f>IF(RIGHT(A25,2)="Q3",1,0)</f>
        <v/>
      </c>
      <c r="G25" s="9">
        <f>IF(RIGHT(A25,2)="Q4",1,0)</f>
        <v/>
      </c>
    </row>
    <row r="26">
      <c r="A26" s="9" t="inlineStr">
        <is>
          <t>2015 Q2</t>
        </is>
      </c>
      <c r="B26" s="9" t="n">
        <v>22</v>
      </c>
      <c r="C26" s="10" t="n">
        <v>11276328</v>
      </c>
      <c r="D26" s="35">
        <f>(C26-C25)/C25*100</f>
        <v/>
      </c>
      <c r="E26" s="9">
        <f>IF(A26="","",IF(RIGHT(A26,2)="Q2",1,0))</f>
        <v/>
      </c>
      <c r="F26" s="9">
        <f>IF(RIGHT(A26,2)="Q3",1,0)</f>
        <v/>
      </c>
      <c r="G26" s="9">
        <f>IF(RIGHT(A26,2)="Q4",1,0)</f>
        <v/>
      </c>
      <c r="I26" s="41" t="inlineStr">
        <is>
          <t>解讀:R²≈0.09,各季 p 值均 &gt; 0.05、整體 F 檢定也不顯著 → 在 5% 水準下沒有證據顯示成長率有季節性。趨勢線 R²≈0 → 也不是單向遞增/遞減。會員變動由政策與 COVID 等一次性事件驅動,因此單純相關會誤導,Part 3 才需要準實驗(DiD)來識別因果。</t>
        </is>
      </c>
    </row>
    <row r="27">
      <c r="A27" s="9" t="inlineStr">
        <is>
          <t>2015 Q3</t>
        </is>
      </c>
      <c r="B27" s="9" t="n">
        <v>23</v>
      </c>
      <c r="C27" s="10" t="n">
        <v>11302105</v>
      </c>
      <c r="D27" s="35">
        <f>(C27-C26)/C26*100</f>
        <v/>
      </c>
      <c r="E27" s="9">
        <f>IF(A27="","",IF(RIGHT(A27,2)="Q2",1,0))</f>
        <v/>
      </c>
      <c r="F27" s="9">
        <f>IF(RIGHT(A27,2)="Q3",1,0)</f>
        <v/>
      </c>
      <c r="G27" s="9">
        <f>IF(RIGHT(A27,2)="Q4",1,0)</f>
        <v/>
      </c>
    </row>
    <row r="28">
      <c r="A28" s="9" t="inlineStr">
        <is>
          <t>2015 Q4</t>
        </is>
      </c>
      <c r="B28" s="9" t="n">
        <v>24</v>
      </c>
      <c r="C28" s="10" t="n">
        <v>11308465</v>
      </c>
      <c r="D28" s="35">
        <f>(C28-C27)/C27*100</f>
        <v/>
      </c>
      <c r="E28" s="9">
        <f>IF(A28="","",IF(RIGHT(A28,2)="Q2",1,0))</f>
        <v/>
      </c>
      <c r="F28" s="9">
        <f>IF(RIGHT(A28,2)="Q3",1,0)</f>
        <v/>
      </c>
      <c r="G28" s="9">
        <f>IF(RIGHT(A28,2)="Q4",1,0)</f>
        <v/>
      </c>
    </row>
    <row r="29">
      <c r="A29" s="9" t="inlineStr">
        <is>
          <t>2016 Q1</t>
        </is>
      </c>
      <c r="B29" s="9" t="n">
        <v>25</v>
      </c>
      <c r="C29" s="10" t="n">
        <v>11331535</v>
      </c>
      <c r="D29" s="35">
        <f>(C29-C28)/C28*100</f>
        <v/>
      </c>
      <c r="E29" s="9">
        <f>IF(A29="","",IF(RIGHT(A29,2)="Q2",1,0))</f>
        <v/>
      </c>
      <c r="F29" s="9">
        <f>IF(RIGHT(A29,2)="Q3",1,0)</f>
        <v/>
      </c>
      <c r="G29" s="9">
        <f>IF(RIGHT(A29,2)="Q4",1,0)</f>
        <v/>
      </c>
    </row>
    <row r="30">
      <c r="A30" s="9" t="inlineStr">
        <is>
          <t>2016 Q2</t>
        </is>
      </c>
      <c r="B30" s="9" t="n">
        <v>26</v>
      </c>
      <c r="C30" s="10" t="n">
        <v>11328577</v>
      </c>
      <c r="D30" s="35">
        <f>(C30-C29)/C29*100</f>
        <v/>
      </c>
      <c r="E30" s="9">
        <f>IF(A30="","",IF(RIGHT(A30,2)="Q2",1,0))</f>
        <v/>
      </c>
      <c r="F30" s="9">
        <f>IF(RIGHT(A30,2)="Q3",1,0)</f>
        <v/>
      </c>
      <c r="G30" s="9">
        <f>IF(RIGHT(A30,2)="Q4",1,0)</f>
        <v/>
      </c>
    </row>
    <row r="31">
      <c r="A31" s="9" t="inlineStr">
        <is>
          <t>2016 Q3</t>
        </is>
      </c>
      <c r="B31" s="9" t="n">
        <v>27</v>
      </c>
      <c r="C31" s="10" t="n">
        <v>11335297</v>
      </c>
      <c r="D31" s="35">
        <f>(C31-C30)/C30*100</f>
        <v/>
      </c>
      <c r="E31" s="9">
        <f>IF(A31="","",IF(RIGHT(A31,2)="Q2",1,0))</f>
        <v/>
      </c>
      <c r="F31" s="9">
        <f>IF(RIGHT(A31,2)="Q3",1,0)</f>
        <v/>
      </c>
      <c r="G31" s="9">
        <f>IF(RIGHT(A31,2)="Q4",1,0)</f>
        <v/>
      </c>
    </row>
    <row r="32">
      <c r="A32" s="9" t="inlineStr">
        <is>
          <t>2016 Q4</t>
        </is>
      </c>
      <c r="B32" s="9" t="n">
        <v>28</v>
      </c>
      <c r="C32" s="10" t="n">
        <v>11327512</v>
      </c>
      <c r="D32" s="35">
        <f>(C32-C31)/C31*100</f>
        <v/>
      </c>
      <c r="E32" s="9">
        <f>IF(A32="","",IF(RIGHT(A32,2)="Q2",1,0))</f>
        <v/>
      </c>
      <c r="F32" s="9">
        <f>IF(RIGHT(A32,2)="Q3",1,0)</f>
        <v/>
      </c>
      <c r="G32" s="9">
        <f>IF(RIGHT(A32,2)="Q4",1,0)</f>
        <v/>
      </c>
    </row>
    <row r="33">
      <c r="A33" s="9" t="inlineStr">
        <is>
          <t>2017 Q1</t>
        </is>
      </c>
      <c r="B33" s="9" t="n">
        <v>29</v>
      </c>
      <c r="C33" s="10" t="n">
        <v>11353517</v>
      </c>
      <c r="D33" s="35">
        <f>(C33-C32)/C32*100</f>
        <v/>
      </c>
      <c r="E33" s="9">
        <f>IF(A33="","",IF(RIGHT(A33,2)="Q2",1,0))</f>
        <v/>
      </c>
      <c r="F33" s="9">
        <f>IF(RIGHT(A33,2)="Q3",1,0)</f>
        <v/>
      </c>
      <c r="G33" s="9">
        <f>IF(RIGHT(A33,2)="Q4",1,0)</f>
        <v/>
      </c>
    </row>
    <row r="34">
      <c r="A34" s="9" t="inlineStr">
        <is>
          <t>2017 Q2</t>
        </is>
      </c>
      <c r="B34" s="9" t="n">
        <v>30</v>
      </c>
      <c r="C34" s="10" t="n">
        <v>11318742</v>
      </c>
      <c r="D34" s="35">
        <f>(C34-C33)/C33*100</f>
        <v/>
      </c>
      <c r="E34" s="9">
        <f>IF(A34="","",IF(RIGHT(A34,2)="Q2",1,0))</f>
        <v/>
      </c>
      <c r="F34" s="9">
        <f>IF(RIGHT(A34,2)="Q3",1,0)</f>
        <v/>
      </c>
      <c r="G34" s="9">
        <f>IF(RIGHT(A34,2)="Q4",1,0)</f>
        <v/>
      </c>
    </row>
    <row r="35">
      <c r="A35" s="9" t="inlineStr">
        <is>
          <t>2017 Q3</t>
        </is>
      </c>
      <c r="B35" s="9" t="n">
        <v>31</v>
      </c>
      <c r="C35" s="10" t="n">
        <v>11318588</v>
      </c>
      <c r="D35" s="35">
        <f>(C35-C34)/C34*100</f>
        <v/>
      </c>
      <c r="E35" s="9">
        <f>IF(A35="","",IF(RIGHT(A35,2)="Q2",1,0))</f>
        <v/>
      </c>
      <c r="F35" s="9">
        <f>IF(RIGHT(A35,2)="Q3",1,0)</f>
        <v/>
      </c>
      <c r="G35" s="9">
        <f>IF(RIGHT(A35,2)="Q4",1,0)</f>
        <v/>
      </c>
    </row>
    <row r="36">
      <c r="A36" s="9" t="inlineStr">
        <is>
          <t>2017 Q4</t>
        </is>
      </c>
      <c r="B36" s="9" t="n">
        <v>32</v>
      </c>
      <c r="C36" s="10" t="n">
        <v>11306294</v>
      </c>
      <c r="D36" s="35">
        <f>(C36-C35)/C35*100</f>
        <v/>
      </c>
      <c r="E36" s="9">
        <f>IF(A36="","",IF(RIGHT(A36,2)="Q2",1,0))</f>
        <v/>
      </c>
      <c r="F36" s="9">
        <f>IF(RIGHT(A36,2)="Q3",1,0)</f>
        <v/>
      </c>
      <c r="G36" s="9">
        <f>IF(RIGHT(A36,2)="Q4",1,0)</f>
        <v/>
      </c>
    </row>
    <row r="37">
      <c r="A37" s="9" t="inlineStr">
        <is>
          <t>2018 Q1</t>
        </is>
      </c>
      <c r="B37" s="9" t="n">
        <v>33</v>
      </c>
      <c r="C37" s="10" t="n">
        <v>11316775</v>
      </c>
      <c r="D37" s="35">
        <f>(C37-C36)/C36*100</f>
        <v/>
      </c>
      <c r="E37" s="9">
        <f>IF(A37="","",IF(RIGHT(A37,2)="Q2",1,0))</f>
        <v/>
      </c>
      <c r="F37" s="9">
        <f>IF(RIGHT(A37,2)="Q3",1,0)</f>
        <v/>
      </c>
      <c r="G37" s="9">
        <f>IF(RIGHT(A37,2)="Q4",1,0)</f>
        <v/>
      </c>
    </row>
    <row r="38">
      <c r="A38" s="9" t="inlineStr">
        <is>
          <t>2018 Q2</t>
        </is>
      </c>
      <c r="B38" s="9" t="n">
        <v>34</v>
      </c>
      <c r="C38" s="10" t="n">
        <v>11259263</v>
      </c>
      <c r="D38" s="35">
        <f>(C38-C37)/C37*100</f>
        <v/>
      </c>
      <c r="E38" s="9">
        <f>IF(A38="","",IF(RIGHT(A38,2)="Q2",1,0))</f>
        <v/>
      </c>
      <c r="F38" s="9">
        <f>IF(RIGHT(A38,2)="Q3",1,0)</f>
        <v/>
      </c>
      <c r="G38" s="9">
        <f>IF(RIGHT(A38,2)="Q4",1,0)</f>
        <v/>
      </c>
    </row>
    <row r="39">
      <c r="A39" s="9" t="inlineStr">
        <is>
          <t>2018 Q3</t>
        </is>
      </c>
      <c r="B39" s="9" t="n">
        <v>35</v>
      </c>
      <c r="C39" s="10" t="n">
        <v>11254007</v>
      </c>
      <c r="D39" s="35">
        <f>(C39-C38)/C38*100</f>
        <v/>
      </c>
      <c r="E39" s="9">
        <f>IF(A39="","",IF(RIGHT(A39,2)="Q2",1,0))</f>
        <v/>
      </c>
      <c r="F39" s="9">
        <f>IF(RIGHT(A39,2)="Q3",1,0)</f>
        <v/>
      </c>
      <c r="G39" s="9">
        <f>IF(RIGHT(A39,2)="Q4",1,0)</f>
        <v/>
      </c>
    </row>
    <row r="40">
      <c r="A40" s="9" t="inlineStr">
        <is>
          <t>2018 Q4</t>
        </is>
      </c>
      <c r="B40" s="9" t="n">
        <v>36</v>
      </c>
      <c r="C40" s="10" t="n">
        <v>11241637</v>
      </c>
      <c r="D40" s="35">
        <f>(C40-C39)/C39*100</f>
        <v/>
      </c>
      <c r="E40" s="9">
        <f>IF(A40="","",IF(RIGHT(A40,2)="Q2",1,0))</f>
        <v/>
      </c>
      <c r="F40" s="9">
        <f>IF(RIGHT(A40,2)="Q3",1,0)</f>
        <v/>
      </c>
      <c r="G40" s="9">
        <f>IF(RIGHT(A40,2)="Q4",1,0)</f>
        <v/>
      </c>
    </row>
    <row r="41">
      <c r="A41" s="9" t="inlineStr">
        <is>
          <t>2019 Q1</t>
        </is>
      </c>
      <c r="B41" s="9" t="n">
        <v>37</v>
      </c>
      <c r="C41" s="10" t="n">
        <v>11256108</v>
      </c>
      <c r="D41" s="35">
        <f>(C41-C40)/C40*100</f>
        <v/>
      </c>
      <c r="E41" s="9">
        <f>IF(A41="","",IF(RIGHT(A41,2)="Q2",1,0))</f>
        <v/>
      </c>
      <c r="F41" s="9">
        <f>IF(RIGHT(A41,2)="Q3",1,0)</f>
        <v/>
      </c>
      <c r="G41" s="9">
        <f>IF(RIGHT(A41,2)="Q4",1,0)</f>
        <v/>
      </c>
    </row>
    <row r="42">
      <c r="A42" s="9" t="inlineStr">
        <is>
          <t>2019 Q2</t>
        </is>
      </c>
      <c r="B42" s="9" t="n">
        <v>38</v>
      </c>
      <c r="C42" s="10" t="n">
        <v>11227569</v>
      </c>
      <c r="D42" s="35">
        <f>(C42-C41)/C41*100</f>
        <v/>
      </c>
      <c r="E42" s="9">
        <f>IF(A42="","",IF(RIGHT(A42,2)="Q2",1,0))</f>
        <v/>
      </c>
      <c r="F42" s="9">
        <f>IF(RIGHT(A42,2)="Q3",1,0)</f>
        <v/>
      </c>
      <c r="G42" s="9">
        <f>IF(RIGHT(A42,2)="Q4",1,0)</f>
        <v/>
      </c>
    </row>
    <row r="43">
      <c r="A43" s="9" t="inlineStr">
        <is>
          <t>2019 Q3</t>
        </is>
      </c>
      <c r="B43" s="9" t="n">
        <v>39</v>
      </c>
      <c r="C43" s="10" t="n">
        <v>11242726</v>
      </c>
      <c r="D43" s="35">
        <f>(C43-C42)/C42*100</f>
        <v/>
      </c>
      <c r="E43" s="9">
        <f>IF(A43="","",IF(RIGHT(A43,2)="Q2",1,0))</f>
        <v/>
      </c>
      <c r="F43" s="9">
        <f>IF(RIGHT(A43,2)="Q3",1,0)</f>
        <v/>
      </c>
      <c r="G43" s="9">
        <f>IF(RIGHT(A43,2)="Q4",1,0)</f>
        <v/>
      </c>
    </row>
    <row r="44">
      <c r="A44" s="9" t="inlineStr">
        <is>
          <t>2019 Q4</t>
        </is>
      </c>
      <c r="B44" s="9" t="n">
        <v>40</v>
      </c>
      <c r="C44" s="10" t="n">
        <v>11233123</v>
      </c>
      <c r="D44" s="35">
        <f>(C44-C43)/C43*100</f>
        <v/>
      </c>
      <c r="E44" s="9">
        <f>IF(A44="","",IF(RIGHT(A44,2)="Q2",1,0))</f>
        <v/>
      </c>
      <c r="F44" s="9">
        <f>IF(RIGHT(A44,2)="Q3",1,0)</f>
        <v/>
      </c>
      <c r="G44" s="9">
        <f>IF(RIGHT(A44,2)="Q4",1,0)</f>
        <v/>
      </c>
    </row>
    <row r="45">
      <c r="A45" s="9" t="inlineStr">
        <is>
          <t>2020 Q1</t>
        </is>
      </c>
      <c r="B45" s="9" t="n">
        <v>41</v>
      </c>
      <c r="C45" s="10" t="n">
        <v>11225962</v>
      </c>
      <c r="D45" s="35">
        <f>(C45-C44)/C44*100</f>
        <v/>
      </c>
      <c r="E45" s="9">
        <f>IF(A45="","",IF(RIGHT(A45,2)="Q2",1,0))</f>
        <v/>
      </c>
      <c r="F45" s="9">
        <f>IF(RIGHT(A45,2)="Q3",1,0)</f>
        <v/>
      </c>
      <c r="G45" s="9">
        <f>IF(RIGHT(A45,2)="Q4",1,0)</f>
        <v/>
      </c>
    </row>
    <row r="46">
      <c r="A46" s="9" t="inlineStr">
        <is>
          <t>2020 Q2</t>
        </is>
      </c>
      <c r="B46" s="9" t="n">
        <v>42</v>
      </c>
      <c r="C46" s="10" t="n">
        <v>11197395</v>
      </c>
      <c r="D46" s="35">
        <f>(C46-C45)/C45*100</f>
        <v/>
      </c>
      <c r="E46" s="9">
        <f>IF(A46="","",IF(RIGHT(A46,2)="Q2",1,0))</f>
        <v/>
      </c>
      <c r="F46" s="9">
        <f>IF(RIGHT(A46,2)="Q3",1,0)</f>
        <v/>
      </c>
      <c r="G46" s="9">
        <f>IF(RIGHT(A46,2)="Q4",1,0)</f>
        <v/>
      </c>
    </row>
    <row r="47">
      <c r="A47" s="9" t="inlineStr">
        <is>
          <t>2020 Q3</t>
        </is>
      </c>
      <c r="B47" s="9" t="n">
        <v>43</v>
      </c>
      <c r="C47" s="10" t="n">
        <v>11301501</v>
      </c>
      <c r="D47" s="35">
        <f>(C47-C46)/C46*100</f>
        <v/>
      </c>
      <c r="E47" s="9">
        <f>IF(A47="","",IF(RIGHT(A47,2)="Q2",1,0))</f>
        <v/>
      </c>
      <c r="F47" s="9">
        <f>IF(RIGHT(A47,2)="Q3",1,0)</f>
        <v/>
      </c>
      <c r="G47" s="9">
        <f>IF(RIGHT(A47,2)="Q4",1,0)</f>
        <v/>
      </c>
    </row>
    <row r="48">
      <c r="A48" s="9" t="inlineStr">
        <is>
          <t>2020 Q4</t>
        </is>
      </c>
      <c r="B48" s="9" t="n">
        <v>44</v>
      </c>
      <c r="C48" s="10" t="n">
        <v>11336302</v>
      </c>
      <c r="D48" s="35">
        <f>(C48-C47)/C47*100</f>
        <v/>
      </c>
      <c r="E48" s="9">
        <f>IF(A48="","",IF(RIGHT(A48,2)="Q2",1,0))</f>
        <v/>
      </c>
      <c r="F48" s="9">
        <f>IF(RIGHT(A48,2)="Q3",1,0)</f>
        <v/>
      </c>
      <c r="G48" s="9">
        <f>IF(RIGHT(A48,2)="Q4",1,0)</f>
        <v/>
      </c>
    </row>
    <row r="49">
      <c r="A49" s="9" t="inlineStr">
        <is>
          <t>2021 Q1</t>
        </is>
      </c>
      <c r="B49" s="9" t="n">
        <v>45</v>
      </c>
      <c r="C49" s="10" t="n">
        <v>11396181</v>
      </c>
      <c r="D49" s="35">
        <f>(C49-C48)/C48*100</f>
        <v/>
      </c>
      <c r="E49" s="9">
        <f>IF(A49="","",IF(RIGHT(A49,2)="Q2",1,0))</f>
        <v/>
      </c>
      <c r="F49" s="9">
        <f>IF(RIGHT(A49,2)="Q3",1,0)</f>
        <v/>
      </c>
      <c r="G49" s="9">
        <f>IF(RIGHT(A49,2)="Q4",1,0)</f>
        <v/>
      </c>
    </row>
    <row r="50">
      <c r="A50" s="9" t="inlineStr">
        <is>
          <t>2021 Q2</t>
        </is>
      </c>
      <c r="B50" s="9" t="n">
        <v>46</v>
      </c>
      <c r="C50" s="10" t="n">
        <v>11442584</v>
      </c>
      <c r="D50" s="35">
        <f>(C50-C49)/C49*100</f>
        <v/>
      </c>
      <c r="E50" s="9">
        <f>IF(A50="","",IF(RIGHT(A50,2)="Q2",1,0))</f>
        <v/>
      </c>
      <c r="F50" s="9">
        <f>IF(RIGHT(A50,2)="Q3",1,0)</f>
        <v/>
      </c>
      <c r="G50" s="9">
        <f>IF(RIGHT(A50,2)="Q4",1,0)</f>
        <v/>
      </c>
    </row>
    <row r="51">
      <c r="A51" s="9" t="inlineStr">
        <is>
          <t>2021 Q3</t>
        </is>
      </c>
      <c r="B51" s="9" t="n">
        <v>47</v>
      </c>
      <c r="C51" s="10" t="n">
        <v>11506349</v>
      </c>
      <c r="D51" s="35">
        <f>(C51-C50)/C50*100</f>
        <v/>
      </c>
      <c r="E51" s="9">
        <f>IF(A51="","",IF(RIGHT(A51,2)="Q2",1,0))</f>
        <v/>
      </c>
      <c r="F51" s="9">
        <f>IF(RIGHT(A51,2)="Q3",1,0)</f>
        <v/>
      </c>
      <c r="G51" s="9">
        <f>IF(RIGHT(A51,2)="Q4",1,0)</f>
        <v/>
      </c>
    </row>
    <row r="52">
      <c r="A52" s="9" t="inlineStr">
        <is>
          <t>2021 Q4</t>
        </is>
      </c>
      <c r="B52" s="9" t="n">
        <v>48</v>
      </c>
      <c r="C52" s="10" t="n">
        <v>11564806</v>
      </c>
      <c r="D52" s="35">
        <f>(C52-C51)/C51*100</f>
        <v/>
      </c>
      <c r="E52" s="9">
        <f>IF(A52="","",IF(RIGHT(A52,2)="Q2",1,0))</f>
        <v/>
      </c>
      <c r="F52" s="9">
        <f>IF(RIGHT(A52,2)="Q3",1,0)</f>
        <v/>
      </c>
      <c r="G52" s="9">
        <f>IF(RIGHT(A52,2)="Q4",1,0)</f>
        <v/>
      </c>
    </row>
    <row r="53">
      <c r="A53" s="9" t="inlineStr">
        <is>
          <t>2022 Q1</t>
        </is>
      </c>
      <c r="B53" s="9" t="n">
        <v>49</v>
      </c>
      <c r="C53" s="10" t="n">
        <v>11621039</v>
      </c>
      <c r="D53" s="35">
        <f>(C53-C52)/C52*100</f>
        <v/>
      </c>
      <c r="E53" s="9">
        <f>IF(A53="","",IF(RIGHT(A53,2)="Q2",1,0))</f>
        <v/>
      </c>
      <c r="F53" s="9">
        <f>IF(RIGHT(A53,2)="Q3",1,0)</f>
        <v/>
      </c>
      <c r="G53" s="9">
        <f>IF(RIGHT(A53,2)="Q4",1,0)</f>
        <v/>
      </c>
    </row>
    <row r="54">
      <c r="A54" s="9" t="inlineStr">
        <is>
          <t>2022 Q2</t>
        </is>
      </c>
      <c r="B54" s="9" t="n">
        <v>50</v>
      </c>
      <c r="C54" s="10" t="n">
        <v>11678283</v>
      </c>
      <c r="D54" s="35">
        <f>(C54-C53)/C53*100</f>
        <v/>
      </c>
      <c r="E54" s="9">
        <f>IF(A54="","",IF(RIGHT(A54,2)="Q2",1,0))</f>
        <v/>
      </c>
      <c r="F54" s="9">
        <f>IF(RIGHT(A54,2)="Q3",1,0)</f>
        <v/>
      </c>
      <c r="G54" s="9">
        <f>IF(RIGHT(A54,2)="Q4",1,0)</f>
        <v/>
      </c>
    </row>
    <row r="55">
      <c r="A55" s="9" t="inlineStr">
        <is>
          <t>2022 Q3</t>
        </is>
      </c>
      <c r="B55" s="9" t="n">
        <v>51</v>
      </c>
      <c r="C55" s="10" t="n">
        <v>11763117</v>
      </c>
      <c r="D55" s="35">
        <f>(C55-C54)/C54*100</f>
        <v/>
      </c>
      <c r="E55" s="9">
        <f>IF(A55="","",IF(RIGHT(A55,2)="Q2",1,0))</f>
        <v/>
      </c>
      <c r="F55" s="9">
        <f>IF(RIGHT(A55,2)="Q3",1,0)</f>
        <v/>
      </c>
      <c r="G55" s="9">
        <f>IF(RIGHT(A55,2)="Q4",1,0)</f>
        <v/>
      </c>
    </row>
    <row r="56">
      <c r="A56" s="9" t="inlineStr">
        <is>
          <t>2022 Q4</t>
        </is>
      </c>
      <c r="B56" s="9" t="n">
        <v>52</v>
      </c>
      <c r="C56" s="10" t="n">
        <v>11815482</v>
      </c>
      <c r="D56" s="35">
        <f>(C56-C55)/C55*100</f>
        <v/>
      </c>
      <c r="E56" s="9">
        <f>IF(A56="","",IF(RIGHT(A56,2)="Q2",1,0))</f>
        <v/>
      </c>
      <c r="F56" s="9">
        <f>IF(RIGHT(A56,2)="Q3",1,0)</f>
        <v/>
      </c>
      <c r="G56" s="9">
        <f>IF(RIGHT(A56,2)="Q4",1,0)</f>
        <v/>
      </c>
    </row>
    <row r="57">
      <c r="A57" s="9" t="inlineStr">
        <is>
          <t>2023 Q1</t>
        </is>
      </c>
      <c r="B57" s="9" t="n">
        <v>53</v>
      </c>
      <c r="C57" s="10" t="n">
        <v>11878836</v>
      </c>
      <c r="D57" s="35">
        <f>(C57-C56)/C56*100</f>
        <v/>
      </c>
      <c r="E57" s="9">
        <f>IF(A57="","",IF(RIGHT(A57,2)="Q2",1,0))</f>
        <v/>
      </c>
      <c r="F57" s="9">
        <f>IF(RIGHT(A57,2)="Q3",1,0)</f>
        <v/>
      </c>
      <c r="G57" s="9">
        <f>IF(RIGHT(A57,2)="Q4",1,0)</f>
        <v/>
      </c>
    </row>
    <row r="58">
      <c r="A58" s="9" t="inlineStr">
        <is>
          <t>2023 Q2</t>
        </is>
      </c>
      <c r="B58" s="9" t="n">
        <v>54</v>
      </c>
      <c r="C58" s="10" t="n">
        <v>11948443</v>
      </c>
      <c r="D58" s="35">
        <f>(C58-C57)/C57*100</f>
        <v/>
      </c>
      <c r="E58" s="9">
        <f>IF(A58="","",IF(RIGHT(A58,2)="Q2",1,0))</f>
        <v/>
      </c>
      <c r="F58" s="9">
        <f>IF(RIGHT(A58,2)="Q3",1,0)</f>
        <v/>
      </c>
      <c r="G58" s="9">
        <f>IF(RIGHT(A58,2)="Q4",1,0)</f>
        <v/>
      </c>
    </row>
    <row r="59">
      <c r="A59" s="9" t="inlineStr">
        <is>
          <t>2023 Q3</t>
        </is>
      </c>
      <c r="B59" s="9" t="n">
        <v>55</v>
      </c>
      <c r="C59" s="10" t="n">
        <v>12038013</v>
      </c>
      <c r="D59" s="35">
        <f>(C59-C58)/C58*100</f>
        <v/>
      </c>
      <c r="E59" s="9">
        <f>IF(A59="","",IF(RIGHT(A59,2)="Q2",1,0))</f>
        <v/>
      </c>
      <c r="F59" s="9">
        <f>IF(RIGHT(A59,2)="Q3",1,0)</f>
        <v/>
      </c>
      <c r="G59" s="9">
        <f>IF(RIGHT(A59,2)="Q4",1,0)</f>
        <v/>
      </c>
    </row>
    <row r="60">
      <c r="A60" s="9" t="inlineStr">
        <is>
          <t>2023 Q4</t>
        </is>
      </c>
      <c r="B60" s="9" t="n">
        <v>56</v>
      </c>
      <c r="C60" s="10" t="n">
        <v>12092921</v>
      </c>
      <c r="D60" s="35">
        <f>(C60-C59)/C59*100</f>
        <v/>
      </c>
      <c r="E60" s="9">
        <f>IF(A60="","",IF(RIGHT(A60,2)="Q2",1,0))</f>
        <v/>
      </c>
      <c r="F60" s="9">
        <f>IF(RIGHT(A60,2)="Q3",1,0)</f>
        <v/>
      </c>
      <c r="G60" s="9">
        <f>IF(RIGHT(A60,2)="Q4",1,0)</f>
        <v/>
      </c>
    </row>
    <row r="61">
      <c r="A61" s="9" t="inlineStr">
        <is>
          <t>2024 Q1</t>
        </is>
      </c>
      <c r="B61" s="9" t="n">
        <v>57</v>
      </c>
      <c r="C61" s="10" t="n">
        <v>12171944</v>
      </c>
      <c r="D61" s="35">
        <f>(C61-C60)/C60*100</f>
        <v/>
      </c>
      <c r="E61" s="9">
        <f>IF(A61="","",IF(RIGHT(A61,2)="Q2",1,0))</f>
        <v/>
      </c>
      <c r="F61" s="9">
        <f>IF(RIGHT(A61,2)="Q3",1,0)</f>
        <v/>
      </c>
      <c r="G61" s="9">
        <f>IF(RIGHT(A61,2)="Q4",1,0)</f>
        <v/>
      </c>
    </row>
    <row r="62">
      <c r="A62" s="9" t="inlineStr">
        <is>
          <t>2024 Q2</t>
        </is>
      </c>
      <c r="B62" s="9" t="n">
        <v>58</v>
      </c>
      <c r="C62" s="10" t="n">
        <v>12235920</v>
      </c>
      <c r="D62" s="35">
        <f>(C62-C61)/C61*100</f>
        <v/>
      </c>
      <c r="E62" s="9">
        <f>IF(A62="","",IF(RIGHT(A62,2)="Q2",1,0))</f>
        <v/>
      </c>
      <c r="F62" s="9">
        <f>IF(RIGHT(A62,2)="Q3",1,0)</f>
        <v/>
      </c>
      <c r="G62" s="9">
        <f>IF(RIGHT(A62,2)="Q4",1,0)</f>
        <v/>
      </c>
    </row>
    <row r="63">
      <c r="A63" s="9" t="inlineStr">
        <is>
          <t>2024 Q3</t>
        </is>
      </c>
      <c r="B63" s="9" t="n">
        <v>59</v>
      </c>
      <c r="C63" s="10" t="n">
        <v>12341521</v>
      </c>
      <c r="D63" s="35">
        <f>(C63-C62)/C62*100</f>
        <v/>
      </c>
      <c r="E63" s="9">
        <f>IF(A63="","",IF(RIGHT(A63,2)="Q2",1,0))</f>
        <v/>
      </c>
      <c r="F63" s="9">
        <f>IF(RIGHT(A63,2)="Q3",1,0)</f>
        <v/>
      </c>
      <c r="G63" s="9">
        <f>IF(RIGHT(A63,2)="Q4",1,0)</f>
        <v/>
      </c>
    </row>
    <row r="64">
      <c r="A64" s="9" t="inlineStr">
        <is>
          <t>2024 Q4</t>
        </is>
      </c>
      <c r="B64" s="9" t="n">
        <v>60</v>
      </c>
      <c r="C64" s="10" t="n">
        <v>12400800</v>
      </c>
      <c r="D64" s="35">
        <f>(C64-C63)/C63*100</f>
        <v/>
      </c>
      <c r="E64" s="9">
        <f>IF(A64="","",IF(RIGHT(A64,2)="Q2",1,0))</f>
        <v/>
      </c>
      <c r="F64" s="9">
        <f>IF(RIGHT(A64,2)="Q3",1,0)</f>
        <v/>
      </c>
      <c r="G64" s="9">
        <f>IF(RIGHT(A64,2)="Q4",1,0)</f>
        <v/>
      </c>
    </row>
    <row r="65">
      <c r="A65" s="9" t="inlineStr">
        <is>
          <t>2025 Q1</t>
        </is>
      </c>
      <c r="B65" s="9" t="n">
        <v>61</v>
      </c>
      <c r="C65" s="10" t="n">
        <v>12482109</v>
      </c>
      <c r="D65" s="35">
        <f>(C65-C64)/C64*100</f>
        <v/>
      </c>
      <c r="E65" s="9">
        <f>IF(A65="","",IF(RIGHT(A65,2)="Q2",1,0))</f>
        <v/>
      </c>
      <c r="F65" s="9">
        <f>IF(RIGHT(A65,2)="Q3",1,0)</f>
        <v/>
      </c>
      <c r="G65" s="9">
        <f>IF(RIGHT(A65,2)="Q4",1,0)</f>
        <v/>
      </c>
    </row>
    <row r="66">
      <c r="A66" s="9" t="inlineStr">
        <is>
          <t>2025 Q2</t>
        </is>
      </c>
      <c r="B66" s="9" t="n">
        <v>62</v>
      </c>
      <c r="C66" s="10" t="n">
        <v>12531009</v>
      </c>
      <c r="D66" s="35">
        <f>(C66-C65)/C65*100</f>
        <v/>
      </c>
      <c r="E66" s="9">
        <f>IF(A66="","",IF(RIGHT(A66,2)="Q2",1,0))</f>
        <v/>
      </c>
      <c r="F66" s="9">
        <f>IF(RIGHT(A66,2)="Q3",1,0)</f>
        <v/>
      </c>
      <c r="G66" s="9">
        <f>IF(RIGHT(A66,2)="Q4",1,0)</f>
        <v/>
      </c>
    </row>
    <row r="67">
      <c r="A67" s="9" t="inlineStr">
        <is>
          <t>2025 Q3</t>
        </is>
      </c>
      <c r="B67" s="9" t="n">
        <v>63</v>
      </c>
      <c r="C67" s="10" t="n">
        <v>12633931</v>
      </c>
      <c r="D67" s="35">
        <f>(C67-C66)/C66*100</f>
        <v/>
      </c>
      <c r="E67" s="9">
        <f>IF(A67="","",IF(RIGHT(A67,2)="Q2",1,0))</f>
        <v/>
      </c>
      <c r="F67" s="9">
        <f>IF(RIGHT(A67,2)="Q3",1,0)</f>
        <v/>
      </c>
      <c r="G67" s="9">
        <f>IF(RIGHT(A67,2)="Q4",1,0)</f>
        <v/>
      </c>
    </row>
    <row r="68">
      <c r="A68" s="9" t="inlineStr">
        <is>
          <t>2025 Q4</t>
        </is>
      </c>
      <c r="B68" s="9" t="n">
        <v>64</v>
      </c>
      <c r="C68" s="10" t="n">
        <v>12688193</v>
      </c>
      <c r="D68" s="35">
        <f>(C68-C67)/C67*100</f>
        <v/>
      </c>
      <c r="E68" s="9">
        <f>IF(A68="","",IF(RIGHT(A68,2)="Q2",1,0))</f>
        <v/>
      </c>
      <c r="F68" s="9">
        <f>IF(RIGHT(A68,2)="Q3",1,0)</f>
        <v/>
      </c>
      <c r="G68" s="9">
        <f>IF(RIGHT(A68,2)="Q4",1,0)</f>
        <v/>
      </c>
    </row>
    <row r="69">
      <c r="A69" s="9" t="inlineStr">
        <is>
          <t>2026 Q1</t>
        </is>
      </c>
      <c r="B69" s="9" t="n">
        <v>65</v>
      </c>
      <c r="C69" s="10" t="n">
        <v>12790111</v>
      </c>
      <c r="D69" s="35">
        <f>(C69-C68)/C68*100</f>
        <v/>
      </c>
      <c r="E69" s="9">
        <f>IF(A69="","",IF(RIGHT(A69,2)="Q2",1,0))</f>
        <v/>
      </c>
      <c r="F69" s="9">
        <f>IF(RIGHT(A69,2)="Q3",1,0)</f>
        <v/>
      </c>
      <c r="G69" s="9">
        <f>IF(RIGHT(A69,2)="Q4",1,0)</f>
        <v/>
      </c>
    </row>
  </sheetData>
  <mergeCells count="1">
    <mergeCell ref="I26:N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2026-06-21T00:07:13Z</dcterms:created>
  <dcterms:modified xsi:type="dcterms:W3CDTF">2026-06-21T00:07:13Z</dcterms:modified>
</cp:coreProperties>
</file>